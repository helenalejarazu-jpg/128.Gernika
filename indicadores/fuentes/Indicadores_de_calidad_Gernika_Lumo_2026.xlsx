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a0aa883bef4212" /></Relationships>
</file>

<file path=xl/workbook.xml><?xml version="1.0" encoding="utf-8"?>
<x:workbook xmlns:x="http://schemas.openxmlformats.org/spreadsheetml/2006/main">
  <x:sheets>
    <x:sheet xmlns:r="http://schemas.openxmlformats.org/officeDocument/2006/relationships" name="INDICADORES" sheetId="1" r:id="R080809e1aa0d4017"/>
    <x:sheet xmlns:r="http://schemas.openxmlformats.org/officeDocument/2006/relationships" name="RESUMEN" sheetId="2" r:id="Rfae32425191e461c"/>
    <x:sheet xmlns:r="http://schemas.openxmlformats.org/officeDocument/2006/relationships" name="Procesos de trabajo" sheetId="3" r:id="Rf88f6f36beaf4714"/>
    <x:sheet xmlns:r="http://schemas.openxmlformats.org/officeDocument/2006/relationships" name="Revisión de planes" sheetId="4" r:id="Ra743a34aae29414a"/>
    <x:sheet xmlns:r="http://schemas.openxmlformats.org/officeDocument/2006/relationships" name="Contrataciones" sheetId="5" r:id="R7bb51256155044f9"/>
    <x:sheet xmlns:r="http://schemas.openxmlformats.org/officeDocument/2006/relationships" name="Subvenciones" sheetId="6" r:id="Ra5494a383f5c46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5">
    <x:font>
      <x:sz val="11"/>
      <x:color theme="1"/>
      <x:name val="Calibri"/>
    </x:font>
    <x:font>
      <x:b/>
      <x:sz val="10"/>
      <x:color rgb="FFFFFFFF"/>
      <x:name val="Calibri"/>
    </x:font>
    <x:font>
      <x:sz val="9"/>
      <x:name val="Calibri"/>
    </x:font>
    <x:font>
      <x:b/>
      <x:sz val="9"/>
      <x:name val="Calibri"/>
    </x:font>
    <x:font>
      <x:b/>
      <x:sz val="12"/>
      <x:color rgb="FF2F5D62"/>
      <x:name val="Calibri"/>
    </x:font>
    <x:font>
      <x:i/>
      <x:sz val="9"/>
      <x:name val="Calibri"/>
    </x:font>
    <x:font>
      <x:b/>
      <x:sz val="9"/>
      <x:color rgb="FFFFFFFF"/>
      <x:name val="Calibri"/>
    </x:font>
    <x:font>
      <x:b/>
      <x:sz val="12"/>
      <x:color rgb="FF2F5D62"/>
    </x:font>
    <x:font>
      <x:sz val="9"/>
    </x:font>
    <x:font>
      <x:i/>
      <x:sz val="9"/>
    </x:font>
    <x:font>
      <x:b/>
      <x:sz val="9"/>
      <x:color rgb="FFFFFFFF"/>
    </x:font>
    <x:font>
      <x:b/>
      <x:sz val="9"/>
    </x:font>
    <x:font>
      <x:b/>
      <x:sz val="13"/>
      <x:color rgb="FF2F5D62"/>
    </x:font>
    <x:font>
      <x:b/>
      <x:sz val="10"/>
      <x:color rgb="FF000000"/>
    </x:font>
    <x:font>
      <x:sz val="9"/>
      <x:color rgb="FF000000"/>
    </x:font>
    <x:font>
      <x:sz val="11"/>
      <x:color theme="1"/>
      <x:name val="Calibri"/>
    </x:font>
    <x:font>
      <x:b/>
      <x:sz val="10"/>
      <x:color rgb="FFFFFFFF"/>
      <x:name val="Calibri"/>
    </x:font>
    <x:font>
      <x:sz val="9"/>
      <x:name val="Calibri"/>
    </x:font>
    <x:font>
      <x:b/>
      <x:sz val="9"/>
      <x:name val="Calibri"/>
    </x:font>
    <x:font>
      <x:b/>
      <x:sz val="12"/>
      <x:color rgb="FF2F5D62"/>
      <x:name val="Calibri"/>
    </x:font>
    <x:font>
      <x:i/>
      <x:sz val="9"/>
      <x:name val="Calibri"/>
    </x:font>
    <x:font>
      <x:b/>
      <x:sz val="9"/>
      <x:color rgb="FFFFFFFF"/>
      <x:name val="Calibri"/>
    </x:font>
    <x:font>
      <x:b/>
      <x:sz val="12"/>
      <x:color rgb="FF2F5D62"/>
    </x:font>
    <x:font>
      <x:sz val="9"/>
    </x:font>
    <x:font>
      <x:i/>
      <x:sz val="9"/>
    </x:font>
    <x:font>
      <x:b/>
      <x:sz val="9"/>
      <x:color rgb="FFFFFFFF"/>
    </x:font>
    <x:font>
      <x:b/>
      <x:sz val="9"/>
    </x:font>
    <x:font>
      <x:b/>
      <x:sz val="13"/>
      <x:color rgb="FF2F5D62"/>
    </x:font>
    <x:font>
      <x:b/>
      <x:sz val="10"/>
      <x:color rgb="FF000000"/>
    </x:font>
    <x:font>
      <x:sz val="9"/>
      <x:color rgb="FF000000"/>
    </x:font>
    <x:font>
      <x:b/>
      <x:sz val="17"/>
      <x:color rgb="FF23474B"/>
      <x:name val="Calibri"/>
    </x:font>
    <x:font>
      <x:b/>
      <x:sz val="11"/>
      <x:color rgb="FFFFFFFF"/>
      <x:name val="Calibri"/>
    </x:font>
    <x:font>
      <x:sz val="11"/>
      <x:color rgb="FF23474B"/>
      <x:name val="Calibri"/>
    </x:font>
    <x:font>
      <x:sz val="11"/>
      <x:color rgb="FF222222"/>
      <x:name val="Calibri"/>
    </x:font>
    <x:font>
      <x:b/>
      <x:sz val="11"/>
      <x:color rgb="FF222222"/>
      <x:name val="Calibri"/>
    </x:font>
  </x:fonts>
  <x:fills count="32">
    <x:fill>
      <x:patternFill patternType="none"/>
    </x:fill>
    <x:fill>
      <x:patternFill patternType="gray125"/>
    </x:fill>
    <x:fill>
      <x:patternFill patternType="solid">
        <x:fgColor rgb="FF2F5D62"/>
      </x:patternFill>
    </x:fill>
    <x:fill>
      <x:patternFill patternType="solid">
        <x:fgColor rgb="FFFFE699"/>
      </x:patternFill>
    </x:fill>
    <x:fill>
      <x:patternFill patternType="solid">
        <x:fgColor rgb="FFF8CBAD"/>
      </x:patternFill>
    </x:fill>
    <x:fill>
      <x:patternFill patternType="solid">
        <x:fgColor rgb="FFD9D9D9"/>
      </x:patternFill>
    </x:fill>
    <x:fill>
      <x:patternFill patternType="solid">
        <x:fgColor rgb="FFC6E0B4"/>
      </x:patternFill>
    </x:fill>
    <x:fill>
      <x:patternFill patternType="solid">
        <x:fgColor rgb="FFD9E1F2"/>
      </x:patternFill>
    </x:fill>
    <x:fill>
      <x:patternFill patternType="solid">
        <x:fgColor rgb="FF2F5D62"/>
      </x:patternFill>
    </x:fill>
    <x:fill>
      <x:patternFill patternType="solid">
        <x:fgColor rgb="FFF8CBAD"/>
      </x:patternFill>
    </x:fill>
    <x:fill>
      <x:patternFill patternType="solid">
        <x:fgColor rgb="FFC6E0B4"/>
      </x:patternFill>
    </x:fill>
    <x:fill>
      <x:patternFill patternType="solid">
        <x:fgColor rgb="FFD9E1F2"/>
      </x:patternFill>
    </x:fill>
    <x:fill>
      <x:patternFill patternType="solid">
        <x:fgColor rgb="FFFFE699"/>
      </x:patternFill>
    </x:fill>
    <x:fill>
      <x:patternFill patternType="none"/>
    </x:fill>
    <x:fill>
      <x:patternFill patternType="gray125"/>
    </x:fill>
    <x:fill>
      <x:patternFill patternType="solid">
        <x:fgColor rgb="FF2F5D62"/>
      </x:patternFill>
    </x:fill>
    <x:fill>
      <x:patternFill patternType="solid">
        <x:fgColor rgb="FFFFE699"/>
      </x:patternFill>
    </x:fill>
    <x:fill>
      <x:patternFill patternType="solid">
        <x:fgColor rgb="FFF8CBAD"/>
      </x:patternFill>
    </x:fill>
    <x:fill>
      <x:patternFill patternType="solid">
        <x:fgColor rgb="FFD9D9D9"/>
      </x:patternFill>
    </x:fill>
    <x:fill>
      <x:patternFill patternType="solid">
        <x:fgColor rgb="FFC6E0B4"/>
      </x:patternFill>
    </x:fill>
    <x:fill>
      <x:patternFill patternType="solid">
        <x:fgColor rgb="FFD9E1F2"/>
      </x:patternFill>
    </x:fill>
    <x:fill>
      <x:patternFill patternType="solid">
        <x:fgColor rgb="FF2F5D62"/>
      </x:patternFill>
    </x:fill>
    <x:fill>
      <x:patternFill patternType="solid">
        <x:fgColor rgb="FFF8CBAD"/>
      </x:patternFill>
    </x:fill>
    <x:fill>
      <x:patternFill patternType="solid">
        <x:fgColor rgb="FFC6E0B4"/>
      </x:patternFill>
    </x:fill>
    <x:fill>
      <x:patternFill patternType="solid">
        <x:fgColor rgb="FFD9E1F2"/>
      </x:patternFill>
    </x:fill>
    <x:fill>
      <x:patternFill patternType="solid">
        <x:fgColor rgb="FFFFE699"/>
      </x:patternFill>
    </x:fill>
    <x:fill>
      <x:patternFill patternType="solid">
        <x:fgColor rgb="FFE8F0EF"/>
      </x:patternFill>
    </x:fill>
    <x:fill>
      <x:patternFill patternType="solid">
        <x:fgColor rgb="FF2F5D62"/>
      </x:patternFill>
    </x:fill>
    <x:fill>
      <x:patternFill patternType="solid">
        <x:fgColor rgb="FFF3F6F5"/>
      </x:patternFill>
    </x:fill>
    <x:fill>
      <x:patternFill patternType="solid">
        <x:fgColor rgb="FFF1F5F4"/>
      </x:patternFill>
    </x:fill>
    <x:fill>
      <x:patternFill patternType="solid">
        <x:fgColor rgb="FFFFFFFF"/>
      </x:patternFill>
    </x:fill>
    <x:fill>
      <x:patternFill patternType="solid">
        <x:fgColor rgb="FFE8F0EF"/>
      </x:patternFill>
    </x:fill>
  </x:fills>
  <x:borders count="6">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ttom style="thin">
        <x:color rgb="FFBFBFBF"/>
      </x:bottom>
    </x:border>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ttom style="thin">
        <x:color rgb="FFBFBFBF"/>
      </x:bottom>
    </x:border>
  </x:borders>
  <x:cellStyleXfs count="2">
    <x:xf numFmtId="0" fontId="0" fillId="0" borderId="0"/>
    <x:xf numFmtId="0" fontId="15" fillId="13" borderId="3"/>
  </x:cellStyleXfs>
  <x:cellXfs count="91">
    <x:xf numFmtId="0" fontId="0" fillId="0" borderId="0" xfId="0"/>
    <x:xf numFmtId="0" fontId="1" fillId="2" borderId="0" xfId="0" applyAlignment="1">
      <x:alignment horizontal="center" vertical="center" wrapText="1"/>
    </x:xf>
    <x:xf numFmtId="0" fontId="2" fillId="0" borderId="1" xfId="0" applyAlignment="1">
      <x:alignment vertical="top" wrapText="1"/>
    </x:xf>
    <x:xf numFmtId="0" fontId="2" fillId="3" borderId="1" xfId="0" applyAlignment="1">
      <x:alignment horizontal="center" vertical="center"/>
    </x:xf>
    <x:xf numFmtId="0" fontId="2" fillId="0" borderId="1" xfId="0" applyAlignment="1">
      <x:alignment horizontal="center" vertical="center"/>
    </x:xf>
    <x:xf numFmtId="0" fontId="2" fillId="4" borderId="1" xfId="0" applyAlignment="1">
      <x:alignment horizontal="center" vertical="center"/>
    </x:xf>
    <x:xf numFmtId="0" fontId="2" fillId="5" borderId="1" xfId="0" applyAlignment="1">
      <x:alignment horizontal="center" vertical="center"/>
    </x:xf>
    <x:xf numFmtId="0" fontId="2" fillId="6" borderId="1" xfId="0" applyAlignment="1">
      <x:alignment horizontal="center" vertical="center"/>
    </x:xf>
    <x:xf numFmtId="0" fontId="2" fillId="0" borderId="1" xfId="0"/>
    <x:xf numFmtId="9" fontId="2" fillId="0" borderId="1" xfId="0"/>
    <x:xf numFmtId="0" fontId="3" fillId="0" borderId="1" xfId="0"/>
    <x:xf numFmtId="9" fontId="3" fillId="0" borderId="1" xfId="0"/>
    <x:xf numFmtId="0" fontId="4" fillId="0" borderId="0" xfId="0"/>
    <x:xf numFmtId="0" fontId="5" fillId="0" borderId="0" xfId="0"/>
    <x:xf numFmtId="0" fontId="6" fillId="2" borderId="0" xfId="0" applyAlignment="1">
      <x:alignment horizontal="center" vertical="center" wrapText="1"/>
    </x:xf>
    <x:xf numFmtId="0" fontId="2" fillId="7" borderId="1" xfId="0" applyAlignment="1">
      <x:alignment horizontal="center" vertical="center"/>
    </x:xf>
    <x:xf numFmtId="0" fontId="7" fillId="0" borderId="0" xfId="0"/>
    <x:xf numFmtId="0" fontId="8" fillId="0" borderId="0" xfId="0"/>
    <x:xf numFmtId="0" fontId="9" fillId="0" borderId="0" xfId="0"/>
    <x:xf numFmtId="0" fontId="10" fillId="8" borderId="0" xfId="0" applyAlignment="1">
      <x:alignment horizontal="center" vertical="center" wrapText="1"/>
    </x:xf>
    <x:xf numFmtId="0" fontId="11" fillId="0" borderId="2" xfId="0"/>
    <x:xf numFmtId="0" fontId="8" fillId="0" borderId="2" xfId="0" applyAlignment="1">
      <x:alignment vertical="top" wrapText="1"/>
    </x:xf>
    <x:xf numFmtId="0" fontId="8" fillId="9" borderId="2" xfId="0" applyAlignment="1">
      <x:alignment horizontal="center" vertical="center"/>
    </x:xf>
    <x:xf numFmtId="0" fontId="8" fillId="10" borderId="2" xfId="0" applyAlignment="1">
      <x:alignment horizontal="center" vertical="center"/>
    </x:xf>
    <x:xf numFmtId="0" fontId="9" fillId="0" borderId="0" xfId="0" applyAlignment="1">
      <x:alignment vertical="top" wrapText="1"/>
    </x:xf>
    <x:xf numFmtId="0" fontId="8" fillId="11" borderId="2" xfId="0" applyAlignment="1">
      <x:alignment horizontal="center" vertical="center"/>
    </x:xf>
    <x:xf numFmtId="0" fontId="8" fillId="12" borderId="2" xfId="0" applyAlignment="1">
      <x:alignment horizontal="center" vertical="center"/>
    </x:xf>
    <x:xf numFmtId="0" fontId="12" fillId="0" borderId="0" xfId="0" applyAlignment="1">
      <x:alignment vertical="top" wrapText="1"/>
    </x:xf>
    <x:xf numFmtId="0" fontId="13" fillId="0" borderId="0" xfId="0" applyAlignment="1">
      <x:alignment vertical="top" wrapText="1"/>
    </x:xf>
    <x:xf numFmtId="0" fontId="14" fillId="0" borderId="0" xfId="0" applyAlignment="1">
      <x:alignment vertical="top" wrapText="1"/>
    </x:xf>
    <x:xf numFmtId="0" fontId="15" fillId="13" borderId="3" xfId="1"/>
    <x:xf numFmtId="0" fontId="16" fillId="15" borderId="3" xfId="1" applyAlignment="1">
      <x:alignment horizontal="center" vertical="center" wrapText="1"/>
    </x:xf>
    <x:xf numFmtId="0" fontId="17" fillId="13" borderId="4" xfId="1" applyAlignment="1">
      <x:alignment vertical="top" wrapText="1"/>
    </x:xf>
    <x:xf numFmtId="0" fontId="17" fillId="16" borderId="4" xfId="1" applyAlignment="1">
      <x:alignment horizontal="center" vertical="center"/>
    </x:xf>
    <x:xf numFmtId="0" fontId="17" fillId="13" borderId="4" xfId="1" applyAlignment="1">
      <x:alignment horizontal="center" vertical="center"/>
    </x:xf>
    <x:xf numFmtId="0" fontId="17" fillId="17" borderId="4" xfId="1" applyAlignment="1">
      <x:alignment horizontal="center" vertical="center"/>
    </x:xf>
    <x:xf numFmtId="0" fontId="17" fillId="18" borderId="4" xfId="1" applyAlignment="1">
      <x:alignment horizontal="center" vertical="center"/>
    </x:xf>
    <x:xf numFmtId="0" fontId="17" fillId="19" borderId="4" xfId="1" applyAlignment="1">
      <x:alignment horizontal="center" vertical="center"/>
    </x:xf>
    <x:xf numFmtId="0" fontId="17" fillId="13" borderId="4" xfId="1"/>
    <x:xf numFmtId="9" fontId="17" fillId="13" borderId="4" xfId="1"/>
    <x:xf numFmtId="0" fontId="18" fillId="13" borderId="4" xfId="1"/>
    <x:xf numFmtId="9" fontId="18" fillId="13" borderId="4" xfId="1"/>
    <x:xf numFmtId="0" fontId="19" fillId="13" borderId="3" xfId="1"/>
    <x:xf numFmtId="0" fontId="20" fillId="13" borderId="3" xfId="1"/>
    <x:xf numFmtId="0" fontId="21" fillId="15" borderId="3" xfId="1" applyAlignment="1">
      <x:alignment horizontal="center" vertical="center" wrapText="1"/>
    </x:xf>
    <x:xf numFmtId="0" fontId="17" fillId="20" borderId="4" xfId="1" applyAlignment="1">
      <x:alignment horizontal="center" vertical="center"/>
    </x:xf>
    <x:xf numFmtId="0" fontId="22" fillId="13" borderId="3" xfId="1"/>
    <x:xf numFmtId="0" fontId="23" fillId="13" borderId="3" xfId="1"/>
    <x:xf numFmtId="0" fontId="24" fillId="13" borderId="3" xfId="1"/>
    <x:xf numFmtId="0" fontId="25" fillId="21" borderId="3" xfId="1" applyAlignment="1">
      <x:alignment horizontal="center" vertical="center" wrapText="1"/>
    </x:xf>
    <x:xf numFmtId="0" fontId="26" fillId="13" borderId="5" xfId="1"/>
    <x:xf numFmtId="0" fontId="23" fillId="13" borderId="5" xfId="1" applyAlignment="1">
      <x:alignment vertical="top" wrapText="1"/>
    </x:xf>
    <x:xf numFmtId="0" fontId="23" fillId="22" borderId="5" xfId="1" applyAlignment="1">
      <x:alignment horizontal="center" vertical="center"/>
    </x:xf>
    <x:xf numFmtId="0" fontId="23" fillId="23" borderId="5" xfId="1" applyAlignment="1">
      <x:alignment horizontal="center" vertical="center"/>
    </x:xf>
    <x:xf numFmtId="0" fontId="24" fillId="13" borderId="3" xfId="1" applyAlignment="1">
      <x:alignment vertical="top" wrapText="1"/>
    </x:xf>
    <x:xf numFmtId="0" fontId="23" fillId="24" borderId="5" xfId="1" applyAlignment="1">
      <x:alignment horizontal="center" vertical="center"/>
    </x:xf>
    <x:xf numFmtId="0" fontId="23" fillId="25" borderId="5" xfId="1" applyAlignment="1">
      <x:alignment horizontal="center" vertical="center"/>
    </x:xf>
    <x:xf numFmtId="0" fontId="27" fillId="13" borderId="3" xfId="1" applyAlignment="1">
      <x:alignment vertical="top" wrapText="1"/>
    </x:xf>
    <x:xf numFmtId="0" fontId="28" fillId="13" borderId="3" xfId="1" applyAlignment="1">
      <x:alignment vertical="top" wrapText="1"/>
    </x:xf>
    <x:xf numFmtId="0" fontId="29" fillId="13" borderId="3" xfId="1" applyAlignment="1">
      <x:alignment vertical="top" wrapText="1"/>
    </x:xf>
    <x:xf numFmtId="0" fontId="15" fillId="26" borderId="3" xfId="1" applyNumberFormat="1" applyFont="1" applyFill="1" applyBorder="1"/>
    <x:xf numFmtId="0" fontId="30" fillId="26" borderId="3" xfId="1" applyNumberFormat="1" applyFont="1" applyFill="1" applyBorder="1"/>
    <x:xf numFmtId="0" fontId="30" fillId="26" borderId="3" xfId="1" applyNumberFormat="1" applyFont="1" applyFill="1" applyBorder="1" applyAlignment="1">
      <x:alignment wrapText="1"/>
    </x:xf>
    <x:xf numFmtId="0" fontId="30" fillId="26" borderId="3" xfId="1" applyNumberFormat="1" applyFont="1" applyFill="1" applyBorder="1" applyAlignment="1">
      <x:alignment vertical="center" wrapText="1"/>
    </x:xf>
    <x:xf numFmtId="0" fontId="15" fillId="27" borderId="3" xfId="1" applyNumberFormat="1" applyFont="1" applyFill="1" applyBorder="1"/>
    <x:xf numFmtId="0" fontId="31" fillId="27" borderId="3" xfId="1" applyNumberFormat="1" applyFont="1" applyFill="1" applyBorder="1"/>
    <x:xf numFmtId="0" fontId="31" fillId="27" borderId="3" xfId="1" applyNumberFormat="1" applyFont="1" applyFill="1" applyBorder="1" applyAlignment="1">
      <x:alignment wrapText="1"/>
    </x:xf>
    <x:xf numFmtId="0" fontId="31" fillId="27" borderId="3" xfId="1" applyNumberFormat="1" applyFont="1" applyFill="1" applyBorder="1" applyAlignment="1">
      <x:alignment vertical="center" wrapText="1"/>
    </x:xf>
    <x:xf numFmtId="0" fontId="15" fillId="28" borderId="3" xfId="1" applyNumberFormat="1" applyFont="1" applyFill="1" applyBorder="1"/>
    <x:xf numFmtId="0" fontId="32" fillId="28" borderId="3" xfId="1" applyNumberFormat="1" applyFont="1" applyFill="1" applyBorder="1"/>
    <x:xf numFmtId="0" fontId="32" fillId="28" borderId="3" xfId="1" applyNumberFormat="1" applyFont="1" applyFill="1" applyBorder="1" applyAlignment="1">
      <x:alignment wrapText="1"/>
    </x:xf>
    <x:xf numFmtId="0" fontId="32" fillId="28" borderId="3" xfId="1" applyNumberFormat="1" applyFont="1" applyFill="1" applyBorder="1" applyAlignment="1">
      <x:alignment vertical="center" wrapText="1"/>
    </x:xf>
    <x:xf numFmtId="0" fontId="15" fillId="29" borderId="3" xfId="1" applyNumberFormat="1" applyFont="1" applyFill="1" applyBorder="1"/>
    <x:xf numFmtId="0" fontId="33" fillId="29" borderId="3" xfId="1" applyNumberFormat="1" applyFont="1" applyFill="1" applyBorder="1"/>
    <x:xf numFmtId="0" fontId="33" fillId="29" borderId="3" xfId="1" applyNumberFormat="1" applyFont="1" applyFill="1" applyBorder="1" applyAlignment="1">
      <x:alignment wrapText="1"/>
    </x:xf>
    <x:xf numFmtId="0" fontId="33" fillId="29" borderId="3" xfId="1" applyNumberFormat="1" applyFont="1" applyFill="1" applyBorder="1" applyAlignment="1">
      <x:alignment vertical="top" wrapText="1"/>
    </x:xf>
    <x:xf numFmtId="0" fontId="15" fillId="30" borderId="3" xfId="1" applyNumberFormat="1" applyFont="1" applyFill="1" applyBorder="1"/>
    <x:xf numFmtId="0" fontId="33" fillId="30" borderId="3" xfId="1" applyNumberFormat="1" applyFont="1" applyFill="1" applyBorder="1"/>
    <x:xf numFmtId="0" fontId="33" fillId="30" borderId="3" xfId="1" applyNumberFormat="1" applyFont="1" applyFill="1" applyBorder="1" applyAlignment="1">
      <x:alignment wrapText="1"/>
    </x:xf>
    <x:xf numFmtId="0" fontId="33" fillId="30" borderId="3" xfId="1" applyNumberFormat="1" applyFont="1" applyFill="1" applyBorder="1" applyAlignment="1">
      <x:alignment vertical="top" wrapText="1"/>
    </x:xf>
    <x:xf numFmtId="0" fontId="34" fillId="29" borderId="3" xfId="1" applyNumberFormat="1" applyFont="1" applyFill="1" applyBorder="1" applyAlignment="1">
      <x:alignment vertical="top" wrapText="1"/>
    </x:xf>
    <x:xf numFmtId="0" fontId="0" fillId="31" borderId="0" xfId="0" applyNumberFormat="1" applyFont="1" applyFill="1" applyBorder="1"/>
    <x:xf numFmtId="0" fontId="0" fillId="31" borderId="0" xfId="0" applyNumberFormat="1" applyFont="1" applyFill="1" applyBorder="1" applyAlignment="1">
      <x:alignment wrapText="1"/>
    </x:xf>
    <x:xf numFmtId="0" fontId="0" fillId="31" borderId="0" xfId="0" applyNumberFormat="1" applyFont="1" applyFill="1" applyBorder="1" applyAlignment="1">
      <x:alignment vertical="center" wrapText="1"/>
    </x:xf>
    <x:xf numFmtId="200" fontId="0" fillId="0"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0" fontId="2" fillId="0" borderId="1" xfId="0" applyNumberFormat="1" applyFont="1" applyFill="1" applyBorder="1"/>
    <x:xf numFmtId="200" fontId="3" fillId="0" borderId="1" xfId="0" applyNumberFormat="1" applyFont="1" applyFill="1" applyBorder="1"/>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77b8e1f16514cfd" /><Relationship Type="http://schemas.openxmlformats.org/officeDocument/2006/relationships/theme" Target="/xl/theme/theme1.xml" Id="R56d86957bb044c2b" /><Relationship Type="http://schemas.openxmlformats.org/officeDocument/2006/relationships/sharedStrings" Target="/xl/sharedStrings.xml" Id="R605242bcf1254ff6" /><Relationship Type="http://schemas.openxmlformats.org/officeDocument/2006/relationships/worksheet" Target="/xl/worksheets/sheet1.xml" Id="R080809e1aa0d4017" /><Relationship Type="http://schemas.openxmlformats.org/officeDocument/2006/relationships/worksheet" Target="/xl/worksheets/sheet2.xml" Id="Rfae32425191e461c" /><Relationship Type="http://schemas.openxmlformats.org/officeDocument/2006/relationships/worksheet" Target="/xl/worksheets/sheet3.xml" Id="Rf88f6f36beaf4714" /><Relationship Type="http://schemas.openxmlformats.org/officeDocument/2006/relationships/worksheet" Target="/xl/worksheets/sheet4.xml" Id="Ra743a34aae29414a" /><Relationship Type="http://schemas.openxmlformats.org/officeDocument/2006/relationships/worksheet" Target="/xl/worksheets/sheet5.xml" Id="R7bb51256155044f9" /><Relationship Type="http://schemas.openxmlformats.org/officeDocument/2006/relationships/worksheet" Target="/xl/worksheets/sheet6.xml" Id="Ra5494a383f5c464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2" ySplit="1" topLeftCell="C2" activePane="bottomRight" state="frozen"/>
    </x:sheetView>
  </x:sheetViews>
  <x:sheetFormatPr baseColWidth="10" defaultColWidth="8.7265625" defaultRowHeight="14.5"/>
  <x:cols>
    <x:col min="1" max="1" width="22" customWidth="1"/>
    <x:col min="2" max="2" width="34" customWidth="1"/>
    <x:col min="3" max="3" width="60" customWidth="1"/>
    <x:col min="4" max="4" width="15" customWidth="1"/>
    <x:col min="5" max="5" width="8" customWidth="1"/>
    <x:col min="6" max="6" width="46" customWidth="1"/>
    <x:col min="7" max="7" width="95" customWidth="1"/>
    <x:col min="8" max="8" width="70" customWidth="1"/>
  </x:cols>
  <x:sheetData>
    <x:row r="1" ht="34" customHeight="1">
      <x:c r="A1" s="1" t="inlineStr">
        <x:is>
          <x:t xml:space="preserve">TIPO</x:t>
        </x:is>
      </x:c>
      <x:c r="B1" s="1" t="inlineStr">
        <x:is>
          <x:t xml:space="preserve">AMBITO</x:t>
        </x:is>
      </x:c>
      <x:c r="C1" s="1" t="inlineStr">
        <x:is>
          <x:t xml:space="preserve">INDICADOR</x:t>
        </x:is>
      </x:c>
      <x:c r="D1" s="1" t="inlineStr">
        <x:is>
          <x:t xml:space="preserve">CUMPLIMIENTO</x:t>
        </x:is>
      </x:c>
      <x:c r="E1" s="1" t="inlineStr">
        <x:is>
          <x:t xml:space="preserve">VALOR</x:t>
        </x:is>
      </x:c>
      <x:c r="F1" s="1" t="inlineStr">
        <x:is>
          <x:t xml:space="preserve">FUENTE / EVIDENCIA</x:t>
        </x:is>
      </x:c>
      <x:c r="G1" s="1" t="inlineStr">
        <x:is>
          <x:t xml:space="preserve">OBSERVACIONES</x:t>
        </x:is>
      </x:c>
    </x:row>
    <x:row r="2" ht="108" customHeight="1">
      <x:c r="A2" s="2" t="inlineStr">
        <x:is>
          <x:t xml:space="preserve">1.CONDICIONES ESTRUCTURALES</x:t>
        </x:is>
      </x:c>
      <x:c r="B2" s="2" t="inlineStr">
        <x:is>
          <x:t xml:space="preserve">1.1.UNIDADES ADMINISTRATIVAS ESPECÍFICAS PARA LA IGUALDAD DE MUJERES Y HOMBRES</x:t>
        </x:is>
      </x:c>
      <x:c r="C2" s="2" t="inlineStr">
        <x:is>
          <x:t xml:space="preserve">1.1.1. La existencia de un órgano o unidad administrativa específica para la igualdad de mujeres y hombres.</x:t>
        </x:is>
      </x:c>
      <x:c r="D2" s="3" t="inlineStr">
        <x:is>
          <x:t xml:space="preserve">PARCIAL</x:t>
        </x:is>
      </x:c>
      <x:c r="E2" s="4" t="n">
        <x:f>IF(D2="SI",1,IF(D2="NO",0,IF(D2="PARCIAL",0.5,"")))</x:f>
        <x:v>0.5</x:v>
      </x:c>
      <x:c r="F2" s="2" t="inlineStr">
        <x:is>
          <x:t xml:space="preserve">Sesiones de trabajo con Jone Gurrea, tecnica de igualdad (3 y 17/07/2026); Entrevista Amaia Garcia, Turismo (07/2026); Organigrama municipal (documento 03 de la documentacion recibida), bloque de Servicios Generales</x:t>
        </x:is>
      </x:c>
      <x:c r="G2" s="2" t="inlineStr">
        <x:is>
          <x:t xml:space="preserve">Existe servicio de igualdad, pero no es una unidad especifica: comparte titular con accion social. No existe unidad administrativa especifica de igualdad: lo que figura es un unico puesto denominado 'Tecnico/a de Igualdad y Accion Social (A1/A2)', encuadrado en Servicios Generales dentro del bloque de Servicios de Contratacion y Patrimonio. La propia denominacion del puesto acredita que la dedicacion es compartida. El indicador de calidad es claro: se requiere una unidad ESPECÍFICA. Igualmente lo es el diagnóstico realizado que establecia que se necesitaba incrementar la dedicación del personal técnico de igualdad y dotar de estabilidad al puesto. La evaluación vuelve a confirmar que no se ha conseguido una dedicación ni una estabilidad suficientes como para abordar con solvencia el cumplimiento del plan. 9</x:t>
        </x:is>
      </x:c>
    </x:row>
    <x:row r="3" ht="48" customHeight="1">
      <x:c r="A3" s="2" t="inlineStr">
        <x:is>
          <x:t xml:space="preserve">1.CONDICIONES ESTRUCTURALES</x:t>
        </x:is>
      </x:c>
      <x:c r="B3" s="2" t="inlineStr">
        <x:is>
          <x:t xml:space="preserve">1.1.UNIDADES ADMINISTRATIVAS ESPECÍFICAS PARA LA IGUALDAD DE MUJERES Y HOMBRES</x:t>
        </x:is>
      </x:c>
      <x:c r="C3" s="2" t="inlineStr">
        <x:is>
          <x:t xml:space="preserve">1.1.2. La existencia de personal técnico que se dedique exclusivamente a la igualdad.</x:t>
        </x:is>
      </x:c>
      <x:c r="D3" s="3" t="inlineStr">
        <x:is>
          <x:t xml:space="preserve">PARCIAL</x:t>
        </x:is>
      </x:c>
      <x:c r="E3" s="4" t="n">
        <x:f>IF(D3="SI",1,IF(D3="NO",0,IF(D3="PARCIAL",0.5,"")))</x:f>
        <x:v>0.5</x:v>
      </x:c>
      <x:c r="F3" s="2" t="inlineStr">
        <x:is>
          <x:t xml:space="preserve">Sesiones de trabajo con Jone Gurrea, tecnica de igualdad (3 y 17/07/2026); Organigrama municipal (documento 03 de la documentacion recibida), bloque de Servicios Generales</x:t>
        </x:is>
      </x:c>
      <x:c r="G3" s="2" t="inlineStr">
        <x:is>
          <x:t xml:space="preserve">Dedicacion parcial: en 2026 en torno al 60% a igualdad y 40% a accion social. Hasta 2025 asumia ademas prevencion de riesgos laborales. Confirmado documentalmente: el puesto se denomina 'Tecnico/a de Igualdad y Accion Social', de modo que la dedicacion compartida esta incorporada a la propia definicion del puesto y no es una circunstancia coyuntural.</x:t>
        </x:is>
      </x:c>
    </x:row>
    <x:row r="4" ht="48" customHeight="1">
      <x:c r="A4" s="2" t="inlineStr">
        <x:is>
          <x:t xml:space="preserve">1.CONDICIONES ESTRUCTURALES</x:t>
        </x:is>
      </x:c>
      <x:c r="B4" s="2" t="inlineStr">
        <x:is>
          <x:t xml:space="preserve">1.1.UNIDADES ADMINISTRATIVAS ESPECÍFICAS PARA LA IGUALDAD DE MUJERES Y HOMBRES</x:t>
        </x:is>
      </x:c>
      <x:c r="C4" s="2" t="inlineStr">
        <x:is>
          <x:t xml:space="preserve">1.1.3. La inclusión en las relaciones de puesto de trabajo (RTP) la plaza de la persona trabajadora técnica de igualdad entre las plazas del personal técnico superior.</x:t>
        </x:is>
      </x:c>
      <x:c r="D4" s="5" t="inlineStr">
        <x:is>
          <x:t xml:space="preserve">NO</x:t>
        </x:is>
      </x:c>
      <x:c r="E4" s="4" t="n">
        <x:f>IF(D4="SI",1,IF(D4="NO",0,IF(D4="PARCIAL",0.5,"")))</x:f>
        <x:v>0</x:v>
      </x:c>
      <x:c r="F4" s="2" t="inlineStr">
        <x:is>
          <x:t xml:space="preserve">Entrevista Mirari Elosegi, Medio Ambiente (24/07/2026); Sesiones de trabajo con Jone Gurrea, tecnica de igualdad (3 y 17/07/2026); Organigrama municipal (documento 03 de la documentacion recibida), bloque de Servicios Generales</x:t>
        </x:is>
      </x:c>
      <x:c r="G4" s="2" t="inlineStr">
        <x:is>
          <x:t xml:space="preserve">La plaza se creo hace unos tres anos mediante un programa y no esta incluida en la RPT. Contrastar con Langileria. Matiz: el organigrama recoge el puesto con grupo de clasificacion A1/A2, pero el organigrama no es la RPT. Mantener la valoracion en NO conforme a lo declarado en las entrevistas, y confirmarlo con Langileria.</x:t>
        </x:is>
      </x:c>
    </x:row>
    <x:row r="5" ht="24" customHeight="1">
      <x:c r="A5" s="2" t="inlineStr">
        <x:is>
          <x:t xml:space="preserve">1.CONDICIONES ESTRUCTURALES</x:t>
        </x:is>
      </x:c>
      <x:c r="B5" s="2" t="inlineStr">
        <x:is>
          <x:t xml:space="preserve">1.1.UNIDADES ADMINISTRATIVAS ESPECÍFICAS PARA LA IGUALDAD DE MUJERES Y HOMBRES</x:t>
        </x:is>
      </x:c>
      <x:c r="C5" s="2" t="inlineStr">
        <x:is>
          <x:t xml:space="preserve">1.1.4. La inclusión de requisitos de formación específica sobre igualdad en las plazas del personal técnico de igualdad.</x:t>
        </x:is>
      </x:c>
      <x:c r="D5" s="7" t="inlineStr">
        <x:is>
          <x:t xml:space="preserve">SI</x:t>
        </x:is>
      </x:c>
      <x:c r="E5" s="4" t="n">
        <x:f>IF(D5="SI",1,IF(D5="NO",0,IF(D5="PARCIAL",0.5,"")))</x:f>
        <x:v>1</x:v>
      </x:c>
      <x:c r="F5" s="2" t="inlineStr">
        <x:is>
          <x:t xml:space="preserve">Confirmado por la tecnica de igualdad</x:t>
        </x:is>
      </x:c>
      <x:c r="G5" s="2" t="inlineStr">
        <x:is>
          <x:t xml:space="preserve">Sin dato sobre si la convocatoria de la plaza exigia formacion especifica en igualdad. La convocatoria de la plaza si exigia formacion especifica en materia de igualdad.</x:t>
        </x:is>
      </x:c>
    </x:row>
    <x:row r="6" ht="36" customHeight="1">
      <x:c r="A6" s="2" t="inlineStr">
        <x:is>
          <x:t xml:space="preserve">1.CONDICIONES ESTRUCTURALES</x:t>
        </x:is>
      </x:c>
      <x:c r="B6" s="2" t="inlineStr">
        <x:is>
          <x:t xml:space="preserve">1.1.UNIDADES ADMINISTRATIVAS ESPECÍFICAS PARA LA IGUALDAD DE MUJERES Y HOMBRES</x:t>
        </x:is>
      </x:c>
      <x:c r="C6" s="2" t="inlineStr">
        <x:is>
          <x:t xml:space="preserve">1.1.5. La adscripción del órgano o unidad administrativa para la igualdad a la estructura con mayor grado de jerarquía de la institución (presidencia, alcaldía o equivalente).</x:t>
        </x:is>
      </x:c>
      <x:c r="D6" s="5" t="inlineStr">
        <x:is>
          <x:t xml:space="preserve">NO</x:t>
        </x:is>
      </x:c>
      <x:c r="E6" s="4" t="n">
        <x:f>IF(D6="SI",1,IF(D6="NO",0,IF(D6="PARCIAL",0.5,"")))</x:f>
        <x:v>0</x:v>
      </x:c>
      <x:c r="F6" s="2" t="inlineStr">
        <x:is>
          <x:t xml:space="preserve">Organigrama municipal (documento 03 de la documentacion recibida), bloque de Servicios Generales</x:t>
        </x:is>
      </x:c>
      <x:c r="G6" s="2" t="inlineStr">
        <x:is>
          <x:t xml:space="preserve"> depende de la concejalia de Igualdad y Bienestar, no de Alcaldia. Verificado en el organigrama: el puesto no depende de Alcaldia sino de la Secretaria General, y aparece encuadrado en el bloque de Servicios de Contratacion y Patrimonio dentro de Servicios Generales. </x:t>
        </x:is>
      </x:c>
    </x:row>
    <x:row r="7" ht="24" customHeight="1">
      <x:c r="A7" s="2" t="inlineStr">
        <x:is>
          <x:t xml:space="preserve">1.CONDICIONES ESTRUCTURALES</x:t>
        </x:is>
      </x:c>
      <x:c r="B7" s="2" t="inlineStr">
        <x:is>
          <x:t xml:space="preserve">1.1.UNIDADES ADMINISTRATIVAS ESPECÍFICAS PARA LA IGUALDAD DE MUJERES Y HOMBRES</x:t>
        </x:is>
      </x:c>
      <x:c r="C7" s="2" t="inlineStr">
        <x:is>
          <x:t xml:space="preserve">1.1.6 La existencia de un presupuesto para la unidad administrativa u órgano para la igualdad dentro de la institución.</x:t>
        </x:is>
      </x:c>
      <x:c r="D7" s="7" t="inlineStr">
        <x:is>
          <x:t xml:space="preserve">SI</x:t>
        </x:is>
      </x:c>
      <x:c r="E7" s="4" t="n">
        <x:f>IF(D7="SI",1,IF(D7="NO",0,IF(D7="PARCIAL",0.5,"")))</x:f>
        <x:v>1</x:v>
      </x:c>
      <x:c r="F7" s="2" t="inlineStr">
        <x:is>
          <x:t xml:space="preserve">Sesiones de trabajo con Jone Gurrea, tecnica de igualdad (3 y 17/07/2026)</x:t>
        </x:is>
      </x:c>
      <x:c r="G7" s="2" t="inlineStr">
        <x:is>
          <x:t xml:space="preserve">Partida de igualdad de 38.000 euros anuales (2023-2026) mas partida vinculada de 50.000 euros con posibilidad de transferencia de credito.</x:t>
        </x:is>
      </x:c>
    </x:row>
    <x:row r="8" ht="24" customHeight="1">
      <x:c r="A8" s="2" t="inlineStr">
        <x:is>
          <x:t xml:space="preserve">1.CONDICIONES ESTRUCTURALES</x:t>
        </x:is>
      </x:c>
      <x:c r="B8" s="2" t="inlineStr">
        <x:is>
          <x:t xml:space="preserve">1.2 PLANIFICACIÓN PARA LA IGUALDAD DE MUJERES Y HOMBRES</x:t>
        </x:is>
      </x:c>
      <x:c r="C8" s="2" t="inlineStr">
        <x:is>
          <x:t xml:space="preserve">1.2.1. La existencia de planes o programas para la igualdad en vigor, según lo establecido en el artículo 15 de la Ley 4/2005.</x:t>
        </x:is>
      </x:c>
      <x:c r="D8" s="7" t="inlineStr">
        <x:is>
          <x:t xml:space="preserve">SI</x:t>
        </x:is>
      </x:c>
      <x:c r="E8" s="4" t="n">
        <x:f>IF(D8="SI",1,IF(D8="NO",0,IF(D8="PARCIAL",0.5,"")))</x:f>
        <x:v>1</x:v>
      </x:c>
      <x:c r="F8" s="2" t="inlineStr">
        <x:is>
          <x:t xml:space="preserve">Sesiones de trabajo con Jone Gurrea, tecnica de igualdad (3 y 17/07/2026)</x:t>
        </x:is>
      </x:c>
      <x:c r="G8" s="2" t="inlineStr">
        <x:is>
          <x:t xml:space="preserve">IV Plan aprobado en pleno el 17/06/2021 y prorrogado por acuerdo plenario en febrero de 2025. En 2026 se procede a  la elaboración del V Plan. </x:t>
        </x:is>
      </x:c>
    </x:row>
    <x:row r="9" ht="24" customHeight="1">
      <x:c r="A9" s="2" t="inlineStr">
        <x:is>
          <x:t xml:space="preserve">1.CONDICIONES ESTRUCTURALES</x:t>
        </x:is>
      </x:c>
      <x:c r="B9" s="2" t="inlineStr">
        <x:is>
          <x:t xml:space="preserve">1.2 PLANIFICACIÓN PARA LA IGUALDAD DE MUJERES Y HOMBRES</x:t>
        </x:is>
      </x:c>
      <x:c r="C9" s="2" t="inlineStr">
        <x:is>
          <x:t xml:space="preserve">1.2.2. Tener una evaluación del plan anterior y/o un diagnóstico, previo a la realización del plan o programa de igualdad en vigor.</x:t>
        </x:is>
      </x:c>
      <x:c r="D9" s="7" t="inlineStr">
        <x:is>
          <x:t xml:space="preserve">SI</x:t>
        </x:is>
      </x:c>
      <x:c r="E9" s="4" t="n">
        <x:f>IF(D9="SI",1,IF(D9="NO",0,IF(D9="PARCIAL",0.5,"")))</x:f>
        <x:v>1</x:v>
      </x:c>
      <x:c r="F9" s="2" t="inlineStr">
        <x:is>
          <x:t xml:space="preserve">IV Plan de Igualdad de Gernika-Lumo 2021-2024</x:t>
        </x:is>
      </x:c>
      <x:c r="G9" s="2" t="inlineStr">
        <x:is>
          <x:t xml:space="preserve">El IV Plan parte de la Valoracion del III Plan (julio 2019) y del Diagnostico de situacion de mujeres y hombres de Gernika-Lumo (octubre 2019).</x:t>
        </x:is>
      </x:c>
    </x:row>
    <x:row r="10" ht="24" customHeight="1">
      <x:c r="A10" s="2" t="inlineStr">
        <x:is>
          <x:t xml:space="preserve">1.CONDICIONES ESTRUCTURALES</x:t>
        </x:is>
      </x:c>
      <x:c r="B10" s="2" t="inlineStr">
        <x:is>
          <x:t xml:space="preserve">1.2 PLANIFICACIÓN PARA LA IGUALDAD DE MUJERES Y HOMBRES</x:t>
        </x:is>
      </x:c>
      <x:c r="C10" s="2" t="inlineStr">
        <x:is>
          <x:t xml:space="preserve">1.2.3. La participación política de todas las partes implicadas en la realización del plan o programa de igualdad.</x:t>
        </x:is>
      </x:c>
      <x:c r="D10" s="3" t="inlineStr">
        <x:is>
          <x:t xml:space="preserve">PARCIAL</x:t>
        </x:is>
      </x:c>
      <x:c r="E10" s="4" t="n">
        <x:f>IF(D10="SI",1,IF(D10="NO",0,IF(D10="PARCIAL",0.5,"")))</x:f>
        <x:v>0.5</x:v>
      </x:c>
      <x:c r="F10" s="2" t="inlineStr">
        <x:is>
          <x:t xml:space="preserve">IV Plan de Igualdad de Gernika-Lumo 2021-2024</x:t>
        </x:is>
      </x:c>
      <x:c r="G10" s="2" t="inlineStr">
        <x:is>
          <x:t xml:space="preserve">El Grupo de Coordinacion incluia a la responsable politica y a la tecnica de igualdad, pero no consta participacion del conjunto de los grupos politicos.</x:t>
        </x:is>
      </x:c>
    </x:row>
    <x:row r="11" ht="24" customHeight="1">
      <x:c r="A11" s="2" t="inlineStr">
        <x:is>
          <x:t xml:space="preserve">1.CONDICIONES ESTRUCTURALES</x:t>
        </x:is>
      </x:c>
      <x:c r="B11" s="2" t="inlineStr">
        <x:is>
          <x:t xml:space="preserve">1.2 PLANIFICACIÓN PARA LA IGUALDAD DE MUJERES Y HOMBRES</x:t>
        </x:is>
      </x:c>
      <x:c r="C11" s="2" t="inlineStr">
        <x:is>
          <x:t xml:space="preserve">1.2.4. La participación técnica de todas las partes implicadas en la realización del plan o programa de igualdad.</x:t>
        </x:is>
      </x:c>
      <x:c r="D11" s="7" t="inlineStr">
        <x:is>
          <x:t xml:space="preserve">SI</x:t>
        </x:is>
      </x:c>
      <x:c r="E11" s="4" t="n">
        <x:f>IF(D11="SI",1,IF(D11="NO",0,IF(D11="PARCIAL",0.5,"")))</x:f>
        <x:v>1</x:v>
      </x:c>
      <x:c r="F11" s="2" t="inlineStr">
        <x:is>
          <x:t xml:space="preserve">IV Plan de Igualdad de Gernika-Lumo 2021-2024; entrevistas por areas</x:t>
        </x:is>
      </x:c>
      <x:c r="G11" s="2" t="inlineStr">
        <x:is>
          <x:t xml:space="preserve">Hubo entrevistas al personal tecnico municipal, pero las areas entrevistadas en 2026 no recuerdan haber participado y no recibieron traslacion de objetivos a su ambito.</x:t>
        </x:is>
      </x:c>
    </x:row>
    <x:row r="12" ht="24" customHeight="1">
      <x:c r="A12" s="2" t="inlineStr">
        <x:is>
          <x:t xml:space="preserve">1.CONDICIONES ESTRUCTURALES</x:t>
        </x:is>
      </x:c>
      <x:c r="B12" s="2" t="inlineStr">
        <x:is>
          <x:t xml:space="preserve">1.2 PLANIFICACIÓN PARA LA IGUALDAD DE MUJERES Y HOMBRES</x:t>
        </x:is>
      </x:c>
      <x:c r="C12" s="2" t="inlineStr">
        <x:is>
          <x:t xml:space="preserve">1.2.5. La inclusión de procesos y mecanismos para la participación de colectivos feministas y asociaciones en la realización del plan de igualdad.</x:t>
        </x:is>
      </x:c>
      <x:c r="D12" s="7" t="inlineStr">
        <x:is>
          <x:t xml:space="preserve">SI</x:t>
        </x:is>
      </x:c>
      <x:c r="E12" s="4" t="n">
        <x:f>IF(D12="SI",1,IF(D12="NO",0,IF(D12="PARCIAL",0.5,"")))</x:f>
        <x:v>1</x:v>
      </x:c>
      <x:c r="F12" s="2" t="inlineStr">
        <x:is>
          <x:t xml:space="preserve">IV Plan de Igualdad de Gernika-Lumo 2021-2024</x:t>
        </x:is>
      </x:c>
      <x:c r="G12" s="2" t="inlineStr">
        <x:is>
          <x:t xml:space="preserve">Se emplazo a distintos colectivos, pero finalmente participaron dos mujeres, una de ellas de Sare Feminista y Zaintza Sarea.</x:t>
        </x:is>
      </x:c>
    </x:row>
    <x:row r="13" ht="24" customHeight="1">
      <x:c r="A13" s="2" t="inlineStr">
        <x:is>
          <x:t xml:space="preserve">1.CONDICIONES ESTRUCTURALES</x:t>
        </x:is>
      </x:c>
      <x:c r="B13" s="2" t="inlineStr">
        <x:is>
          <x:t xml:space="preserve">1.2 PLANIFICACIÓN PARA LA IGUALDAD DE MUJERES Y HOMBRES</x:t>
        </x:is>
      </x:c>
      <x:c r="C13" s="2" t="inlineStr">
        <x:is>
          <x:t xml:space="preserve">1.2.6. La existencia de un presupuesto específico para los planes o programas de igualdad en vigor.</x:t>
        </x:is>
      </x:c>
      <x:c r="D13" s="7" t="inlineStr">
        <x:is>
          <x:t xml:space="preserve">SI</x:t>
        </x:is>
      </x:c>
      <x:c r="E13" s="4" t="n">
        <x:f>IF(D13="SI",1,IF(D13="NO",0,IF(D13="PARCIAL",0.5,"")))</x:f>
        <x:v>1</x:v>
      </x:c>
      <x:c r="F13" s="2" t="inlineStr">
        <x:is>
          <x:t xml:space="preserve">Sesiones de trabajo con Jone Gurrea, tecnica de igualdad (3 y 17/07/2026)</x:t>
        </x:is>
      </x:c>
      <x:c r="G13" s="2" t="inlineStr">
        <x:is>
          <x:t xml:space="preserve">Existe partida presupuestaria de igualdad.</x:t>
        </x:is>
      </x:c>
    </x:row>
    <x:row r="14" ht="24" customHeight="1">
      <x:c r="A14" s="2" t="inlineStr">
        <x:is>
          <x:t xml:space="preserve">1.CONDICIONES ESTRUCTURALES</x:t>
        </x:is>
      </x:c>
      <x:c r="B14" s="2" t="inlineStr">
        <x:is>
          <x:t xml:space="preserve">1.2 PLANIFICACIÓN PARA LA IGUALDAD DE MUJERES Y HOMBRES</x:t>
        </x:is>
      </x:c>
      <x:c r="C14" s="2" t="inlineStr">
        <x:is>
          <x:t xml:space="preserve">1.2.7. La existencia de un calendario establecido para el plan o programa de igualdad en vigor.</x:t>
        </x:is>
      </x:c>
      <x:c r="D14" s="7" t="inlineStr">
        <x:is>
          <x:t xml:space="preserve">SI</x:t>
        </x:is>
      </x:c>
      <x:c r="E14" s="4" t="n">
        <x:f>IF(D14="SI",1,IF(D14="NO",0,IF(D14="PARCIAL",0.5,"")))</x:f>
        <x:v>1</x:v>
      </x:c>
      <x:c r="F14" s="2" t="inlineStr">
        <x:is>
          <x:t xml:space="preserve">IV Plan de Igualdad de Gernika-Lumo 2021-2024</x:t>
        </x:is>
      </x:c>
      <x:c r="G14" s="2" t="inlineStr">
        <x:is>
          <x:t xml:space="preserve">Las medidas del plan estan calendarizadas por anos.</x:t>
        </x:is>
      </x:c>
    </x:row>
    <x:row r="15" ht="24" customHeight="1">
      <x:c r="A15" s="2" t="inlineStr">
        <x:is>
          <x:t xml:space="preserve">1.CONDICIONES ESTRUCTURALES</x:t>
        </x:is>
      </x:c>
      <x:c r="B15" s="2" t="inlineStr">
        <x:is>
          <x:t xml:space="preserve">1.2 PLANIFICACIÓN PARA LA IGUALDAD DE MUJERES Y HOMBRES</x:t>
        </x:is>
      </x:c>
      <x:c r="C15" s="2" t="inlineStr">
        <x:is>
          <x:t xml:space="preserve">1.2.8. La existencia de un sistema de seguimiento del plan o programa de igualdad en vigor.</x:t>
        </x:is>
      </x:c>
      <x:c r="D15" s="3" t="inlineStr">
        <x:is>
          <x:t xml:space="preserve">PARCIAL</x:t>
        </x:is>
      </x:c>
      <x:c r="E15" s="4" t="n">
        <x:f>IF(D15="SI",1,IF(D15="NO",0,IF(D15="PARCIAL",0.5,"")))</x:f>
        <x:v>0.5</x:v>
      </x:c>
      <x:c r="F15" s="2" t="inlineStr">
        <x:is>
          <x:t xml:space="preserve">Sesiones de trabajo con Jone Gurrea, tecnica de igualdad (3 y 17/07/2026)</x:t>
        </x:is>
      </x:c>
      <x:c r="G15" s="2" t="inlineStr">
        <x:is>
          <x:t xml:space="preserve">El plan preveia seguimiento mediante la Comision de Igualdad y fichas. La comision no se creo y solo consta un informe de seguimiento de 2022, sin constancia de traslado.</x:t>
        </x:is>
      </x:c>
    </x:row>
    <x:row r="16" ht="24" customHeight="1">
      <x:c r="A16" s="2" t="inlineStr">
        <x:is>
          <x:t xml:space="preserve">1.CONDICIONES ESTRUCTURALES</x:t>
        </x:is>
      </x:c>
      <x:c r="B16" s="2" t="inlineStr">
        <x:is>
          <x:t xml:space="preserve">1.2 PLANIFICACIÓN PARA LA IGUALDAD DE MUJERES Y HOMBRES</x:t>
        </x:is>
      </x:c>
      <x:c r="C16" s="2" t="inlineStr">
        <x:is>
          <x:t xml:space="preserve">1.2.9. La existencia de un sistema de evaluación del plan o programa de igualdad en vigor.</x:t>
        </x:is>
      </x:c>
      <x:c r="D16" s="5" t="str">
        <x:v>SI</x:v>
      </x:c>
      <x:c r="E16" s="4" t="n">
        <x:f>IF(D16="SI",1,IF(D16="NO",0,IF(D16="PARCIAL",0.5,"")))</x:f>
        <x:v>1</x:v>
      </x:c>
      <x:c r="F16" s="2" t="str">
        <x:v>Evaluación final del Plan de Igualdad; valoración confirmada por Helena el 09/09/2026.</x:v>
      </x:c>
      <x:c r="G16" s="2" t="str">
        <x:v>La realización de la evaluación final del Plan de Igualdad acredita la existencia de un sistema de evaluación del plan. Se considera el indicador realizado.</x:v>
      </x:c>
    </x:row>
    <x:row r="17" ht="48" customHeight="1">
      <x:c r="A17" s="2" t="inlineStr">
        <x:is>
          <x:t xml:space="preserve">1.CONDICIONES ESTRUCTURALES</x:t>
        </x:is>
      </x:c>
      <x:c r="B17" s="2" t="inlineStr">
        <x:is>
          <x:t xml:space="preserve">1.2 PLANIFICACIÓN PARA LA IGUALDAD DE MUJERES Y HOMBRES</x:t>
        </x:is>
      </x:c>
      <x:c r="C17" s="2" t="inlineStr">
        <x:is>
          <x:t xml:space="preserve">1.2.10. La integración de los objetivos, acciones e indicadores básicos del plan o programa de igualdad y sus correspondientes indicadores de evaluación en el plan estratégico o equivalente de la institución.</x:t>
        </x:is>
      </x:c>
      <x:c r="D17" s="5" t="inlineStr">
        <x:is>
          <x:t xml:space="preserve">NO</x:t>
        </x:is>
      </x:c>
      <x:c r="E17" s="4" t="n">
        <x:f>IF(D17="SI",1,IF(D17="NO",0,IF(D17="PARCIAL",0.5,"")))</x:f>
        <x:v>0</x:v>
      </x:c>
      <x:c r="F17" s="2" t="inlineStr">
        <x:is>
          <x:t xml:space="preserve">Sesiones de trabajo con Jone Gurrea, tecnica de igualdad (3 y 17/07/2026); Entrevista Cristina, Kultur Etxea (23/07/2026); Entrevista Amaia Garcia, Turismo (07/2026)</x:t>
        </x:is>
      </x:c>
      <x:c r="G17" s="2" t="inlineStr">
        <x:is>
          <x:t xml:space="preserve">No existe plan estrategico municipal ni instrumento equivalente en el que integrar los objetivos del plan de igualdad.</x:t>
        </x:is>
      </x:c>
    </x:row>
    <x:row r="18" ht="48" customHeight="1">
      <x:c r="A18" s="2" t="inlineStr">
        <x:is>
          <x:t xml:space="preserve">1.CONDICIONES ESTRUCTURALES</x:t>
        </x:is>
      </x:c>
      <x:c r="B18" s="2" t="inlineStr">
        <x:is>
          <x:t xml:space="preserve">1.3 NORMATIVA ESPECÍFICA PARA LA IGUALDAD</x:t>
        </x:is>
      </x:c>
      <x:c r="C18" s="2" t="inlineStr">
        <x:is>
          <x:t xml:space="preserve">1.3.1. La existencia de una normativa específica propia en materia de igualdad</x:t>
        </x:is>
      </x:c>
      <x:c r="D18" s="5" t="inlineStr">
        <x:is>
          <x:t xml:space="preserve">NO</x:t>
        </x:is>
      </x:c>
      <x:c r="E18" s="4" t="n">
        <x:f>IF(D18="SI",1,IF(D18="NO",0,IF(D18="PARCIAL",0.5,"")))</x:f>
        <x:v>0</x:v>
      </x:c>
      <x:c r="F18" s="2" t="inlineStr">
        <x:is>
          <x:t xml:space="preserve">Sesiones de trabajo con Jone Gurrea, tecnica de igualdad (3 y 17/07/2026); analisis del plan anterior; Web municipal gernika-lumo.eus (consulta 02/09/2026)</x:t>
        </x:is>
      </x:c>
      <x:c r="G18" s="2" t="inlineStr">
        <x:is>
          <x:t xml:space="preserve">No existe ordenanza municipal de igualdad. Su elaboracion se descarto expresamente durante la vigencia del plan anterior. Verificado en la web municipal: las 17 ordenanzas y reglamentos generales publicados (dos paginas de listado) no incluyen ninguna ordenanza de igualdad. Coincide con la decision, adoptada durante el plan anterior, de dejar fuera su elaboracion.</x:t>
        </x:is>
      </x:c>
    </x:row>
    <x:row r="19" ht="24" customHeight="1">
      <x:c r="A19" s="2" t="inlineStr">
        <x:is>
          <x:t xml:space="preserve">1.CONDICIONES ESTRUCTURALES</x:t>
        </x:is>
      </x:c>
      <x:c r="B19" s="2" t="inlineStr">
        <x:is>
          <x:t xml:space="preserve">1.4 PLANES INTERNOS PARA LA IGUALDAD</x:t>
        </x:is>
      </x:c>
      <x:c r="C19" s="2" t="inlineStr">
        <x:is>
          <x:t xml:space="preserve">1.4.1. La existencia de un plan de igualdad interno en cumplimiento de lo establecido en la disposición adicional séptima del Estatuto Básico del Empleado Público.</x:t>
        </x:is>
      </x:c>
      <x:c r="D19" s="7" t="inlineStr">
        <x:is>
          <x:t xml:space="preserve">SI</x:t>
        </x:is>
      </x:c>
      <x:c r="E19" s="4" t="n">
        <x:f>IF(D19="SI",1,IF(D19="NO",0,IF(D19="PARCIAL",0.5,"")))</x:f>
        <x:v>1</x:v>
      </x:c>
      <x:c r="F19" s="2" t="inlineStr">
        <x:is>
          <x:t xml:space="preserve">Plan Interno de Igualdad del empleo publico 2026-2029</x:t>
        </x:is>
      </x:c>
      <x:c r="G19" s="2" t="inlineStr">
        <x:is>
          <x:t xml:space="preserve">Plan Interno de Igualdad del Ayuntamiento y sus organismos autonomos 2026-2029, aprobado en 2026.</x:t>
        </x:is>
      </x:c>
    </x:row>
    <x:row r="20" ht="24" customHeight="1">
      <x:c r="A20" s="2" t="inlineStr">
        <x:is>
          <x:t xml:space="preserve">1.CONDICIONES ESTRUCTURALES</x:t>
        </x:is>
      </x:c>
      <x:c r="B20" s="2" t="inlineStr">
        <x:is>
          <x:t xml:space="preserve">1.4 PLANES INTERNOS PARA LA IGUALDAD</x:t>
        </x:is>
      </x:c>
      <x:c r="C20" s="2" t="inlineStr">
        <x:is>
          <x:t xml:space="preserve">1.4.2. Tener realizada una evaluación del plan anterior y/o un diagnóstico, previo a la realización del plan interno en vigor.</x:t>
        </x:is>
      </x:c>
      <x:c r="D20" s="7" t="inlineStr">
        <x:is>
          <x:t xml:space="preserve">SI</x:t>
        </x:is>
      </x:c>
      <x:c r="E20" s="4" t="n">
        <x:f>IF(D20="SI",1,IF(D20="NO",0,IF(D20="PARCIAL",0.5,"")))</x:f>
        <x:v>1</x:v>
      </x:c>
      <x:c r="F20" s="2" t="inlineStr">
        <x:is>
          <x:t xml:space="preserve">Plan Interno de Igualdad del empleo publico 2026-2029</x:t>
        </x:is>
      </x:c>
      <x:c r="G20" s="2" t="inlineStr">
        <x:is>
          <x:t xml:space="preserve">El plan se elaboro a partir de un diagnostico previo, con un Grupo Motor formado por la tecnica del Servicio de Igualdad y Sortzen.</x:t>
        </x:is>
      </x:c>
    </x:row>
    <x:row r="21" ht="36" customHeight="1">
      <x:c r="A21" s="2" t="inlineStr">
        <x:is>
          <x:t xml:space="preserve">1.CONDICIONES ESTRUCTURALES</x:t>
        </x:is>
      </x:c>
      <x:c r="B21" s="2" t="inlineStr">
        <x:is>
          <x:t xml:space="preserve">1.4 PLANES INTERNOS PARA LA IGUALDAD</x:t>
        </x:is>
      </x:c>
      <x:c r="C21" s="2" t="inlineStr">
        <x:is>
          <x:t xml:space="preserve">1.4.3. La existencia de un presupuesto para el plan de igualdad interno.</x:t>
        </x:is>
      </x:c>
      <x:c r="D21" s="6" t="str">
        <x:v>NO</x:v>
      </x:c>
      <x:c r="E21" s="4" t="n">
        <x:f>IF(D21="SI",1,IF(D21="NO",0,IF(D21="PARCIAL",0.5,"")))</x:f>
        <x:v>0</x:v>
      </x:c>
      <x:c r="F21" s="2" t="inlineStr">
        <x:is>
          <x:t xml:space="preserve">Plan Interno de Igualdad del empleo publico 2026-2029</x:t>
        </x:is>
      </x:c>
      <x:c r="G21" s="2" t="str">
        <x:v>No realizado provisional, 0 puntos, por acuerdo de Helena: se considera que no hay presupuesto para implantar el plan interno, pendiente de confirmación municipal. Se incluye en la media de los siete indicadores.</x:v>
      </x:c>
    </x:row>
    <x:row r="22" ht="24" customHeight="1">
      <x:c r="A22" s="2" t="inlineStr">
        <x:is>
          <x:t xml:space="preserve">1.CONDICIONES ESTRUCTURALES</x:t>
        </x:is>
      </x:c>
      <x:c r="B22" s="2" t="inlineStr">
        <x:is>
          <x:t xml:space="preserve">1.4 PLANES INTERNOS PARA LA IGUALDAD</x:t>
        </x:is>
      </x:c>
      <x:c r="C22" s="2" t="inlineStr">
        <x:is>
          <x:t xml:space="preserve">1.4.4. La existencia de un calendario establecido para el plan de igualdad interno.</x:t>
        </x:is>
      </x:c>
      <x:c r="D22" s="7" t="inlineStr">
        <x:is>
          <x:t xml:space="preserve">SI</x:t>
        </x:is>
      </x:c>
      <x:c r="E22" s="4" t="n">
        <x:f>IF(D22="SI",1,IF(D22="NO",0,IF(D22="PARCIAL",0.5,"")))</x:f>
        <x:v>1</x:v>
      </x:c>
      <x:c r="F22" s="2" t="inlineStr">
        <x:is>
          <x:t xml:space="preserve">Plan Interno de Igualdad del empleo publico 2026-2029</x:t>
        </x:is>
      </x:c>
      <x:c r="G22" s="2" t="inlineStr">
        <x:is>
          <x:t xml:space="preserve">Vigencia 2026-2029 y calendarizacion accion por accion.</x:t>
        </x:is>
      </x:c>
    </x:row>
    <x:row r="23" ht="24" customHeight="1">
      <x:c r="A23" s="2" t="inlineStr">
        <x:is>
          <x:t xml:space="preserve">1.CONDICIONES ESTRUCTURALES</x:t>
        </x:is>
      </x:c>
      <x:c r="B23" s="2" t="inlineStr">
        <x:is>
          <x:t xml:space="preserve">1.4 PLANES INTERNOS PARA LA IGUALDAD</x:t>
        </x:is>
      </x:c>
      <x:c r="C23" s="2" t="inlineStr">
        <x:is>
          <x:t xml:space="preserve">1.4.5. La existencia de un sistema de seguimiento para el plan de igualdad interno.</x:t>
        </x:is>
      </x:c>
      <x:c r="D23" s="7" t="inlineStr">
        <x:is>
          <x:t xml:space="preserve">SI</x:t>
        </x:is>
      </x:c>
      <x:c r="E23" s="4" t="n">
        <x:f>IF(D23="SI",1,IF(D23="NO",0,IF(D23="PARCIAL",0.5,"")))</x:f>
        <x:v>1</x:v>
      </x:c>
      <x:c r="F23" s="2" t="inlineStr">
        <x:is>
          <x:t xml:space="preserve">Plan Interno de Igualdad del empleo publico 2026-2029</x:t>
        </x:is>
      </x:c>
      <x:c r="G23" s="2" t="inlineStr">
        <x:is>
          <x:t xml:space="preserve">Comite de Seguimiento con tres reuniones anuales, informe anual de resultados e impacto y herramientas de seguimiento en el Anexo I.</x:t>
        </x:is>
      </x:c>
    </x:row>
    <x:row r="24" ht="24" customHeight="1">
      <x:c r="A24" s="2" t="inlineStr">
        <x:is>
          <x:t xml:space="preserve">1.CONDICIONES ESTRUCTURALES</x:t>
        </x:is>
      </x:c>
      <x:c r="B24" s="2" t="inlineStr">
        <x:is>
          <x:t xml:space="preserve">1.4 PLANES INTERNOS PARA LA IGUALDAD</x:t>
        </x:is>
      </x:c>
      <x:c r="C24" s="2" t="inlineStr">
        <x:is>
          <x:t xml:space="preserve">1.4.6. El órgano competente en el ámbito de la función pública, o su equivalente, tendrá la responsabilidad del plan de igualdad interno.</x:t>
        </x:is>
      </x:c>
      <x:c r="D24" s="3" t="inlineStr">
        <x:is>
          <x:t xml:space="preserve">PARCIAL</x:t>
        </x:is>
      </x:c>
      <x:c r="E24" s="4" t="n">
        <x:f>IF(D24="SI",1,IF(D24="NO",0,IF(D24="PARCIAL",0.5,"")))</x:f>
        <x:v>0.5</x:v>
      </x:c>
      <x:c r="F24" s="2" t="inlineStr">
        <x:is>
          <x:t xml:space="preserve">Plan Interno de Igualdad del empleo publico 2026-2029</x:t>
        </x:is>
      </x:c>
      <x:c r="G24" s="2" t="inlineStr">
        <x:is>
          <x:t xml:space="preserve">La responsabilidad recae mayoritariamente en la Comision Tecnica de Igualdad y en el Servicio de Igualdad; Langileria aparece como responsable solo en parte de las acciones.</x:t>
        </x:is>
      </x:c>
    </x:row>
    <x:row r="25" ht="36" customHeight="1">
      <x:c r="A25" s="2" t="inlineStr">
        <x:is>
          <x:t xml:space="preserve">1.CONDICIONES ESTRUCTURALES</x:t>
        </x:is>
      </x:c>
      <x:c r="B25" s="2" t="inlineStr">
        <x:is>
          <x:t xml:space="preserve">1.4 PLANES INTERNOS PARA LA IGUALDAD</x:t>
        </x:is>
      </x:c>
      <x:c r="C25" s="2" t="inlineStr">
        <x:is>
          <x:t xml:space="preserve">1.4.7. La inclusión de los objetivos s, acciones e indicadores básicos en el modelo de gestión pública avanzada o algún instrumento común equivalente, en caso de que lo hubiera.</x:t>
        </x:is>
      </x:c>
      <x:c r="D25" s="5" t="inlineStr">
        <x:is>
          <x:t xml:space="preserve">NO</x:t>
        </x:is>
      </x:c>
      <x:c r="E25" s="4" t="n">
        <x:f>IF(D25="SI",1,IF(D25="NO",0,IF(D25="PARCIAL",0.5,"")))</x:f>
        <x:v>0</x:v>
      </x:c>
      <x:c r="F25" s="2" t="inlineStr">
        <x:is>
          <x:t xml:space="preserve">Plan Interno de Igualdad del empleo publico 2026-2029</x:t>
        </x:is>
      </x:c>
      <x:c r="G25" s="2" t="inlineStr">
        <x:is>
          <x:t xml:space="preserve">El Ayuntamiento no dispone de un modelo de gestion publica avanzada o instrumento comun equivalente.</x:t>
        </x:is>
      </x:c>
    </x:row>
    <x:row r="26" ht="36" customHeight="1">
      <x:c r="A26" s="2" t="inlineStr">
        <x:is>
          <x:t xml:space="preserve">1.CONDICIONES ESTRUCTURALES</x:t>
        </x:is>
      </x:c>
      <x:c r="B26" s="2" t="inlineStr">
        <x:is>
          <x:t xml:space="preserve">1.5 ESTRUCTURAS DE COORDINACIÓN EN MATERIA DE IGUALDAD</x:t>
        </x:is>
      </x:c>
      <x:c r="C26" s="2" t="inlineStr">
        <x:is>
          <x:t xml:space="preserve">1.5.1. Existencia de una estructura política y técnica para la coordinación específica de las políticas de igualdad.</x:t>
        </x:is>
      </x:c>
      <x:c r="D26" s="5" t="inlineStr">
        <x:is>
          <x:t xml:space="preserve">NO</x:t>
        </x:is>
      </x:c>
      <x:c r="E26" s="4" t="n">
        <x:f>IF(D26="SI",1,IF(D26="NO",0,IF(D26="PARCIAL",0.5,"")))</x:f>
        <x:v>0</x:v>
      </x:c>
      <x:c r="F26" s="2" t="inlineStr">
        <x:is>
          <x:t xml:space="preserve">Sesiones de trabajo con Jone Gurrea, tecnica de igualdad (3 y 17/07/2026)</x:t>
        </x:is>
      </x:c>
      <x:c r="G26" s="2" t="inlineStr">
        <x:is>
          <x:t xml:space="preserve">La Comision de Igualdad prevista en el IV Plan no llego a crearse y no se celebran comisiones informativas de igualdad. La Comision Tecnica del plan interno no computa aqui por referirse al ambito interno.</x:t>
        </x:is>
      </x:c>
    </x:row>
    <x:row r="27" ht="36" customHeight="1">
      <x:c r="A27" s="2" t="inlineStr">
        <x:is>
          <x:t xml:space="preserve">1.CONDICIONES ESTRUCTURALES</x:t>
        </x:is>
      </x:c>
      <x:c r="B27" s="2" t="inlineStr">
        <x:is>
          <x:t xml:space="preserve">1.5 ESTRUCTURAS DE COORDINACIÓN EN MATERIA DE IGUALDAD</x:t>
        </x:is>
      </x:c>
      <x:c r="C27" s="2" t="inlineStr">
        <x:is>
          <x:t xml:space="preserve">1.5.2. La persona que ostenta la presidencia de las estructuras de coordinación interdepartamental de igualdad será la persona de mayor rango jerárquico de la institución (presidencia, alcaldía o equivalente).</x:t>
        </x:is>
      </x:c>
      <x:c r="D27" s="5" t="inlineStr">
        <x:is>
          <x:t xml:space="preserve">NO</x:t>
        </x:is>
      </x:c>
      <x:c r="E27" s="4" t="n">
        <x:f>IF(D27="SI",1,IF(D27="NO",0,IF(D27="PARCIAL",0.5,"")))</x:f>
        <x:v>0</x:v>
      </x:c>
      <x:c r="F27" s="2" t="inlineStr">
        <x:is>
          <x:t xml:space="preserve">Sesiones de trabajo con Jone Gurrea, tecnica de igualdad (3 y 17/07/2026)</x:t>
        </x:is>
      </x:c>
      <x:c r="G27" s="2" t="inlineStr">
        <x:is>
          <x:t xml:space="preserve">Al no existir estructura de coordinacion de las politicas de igualdad, no procede. En la comision del plan interno la presidencia la ejerce la concejala de Igualdad, no la Alcaldia.</x:t>
        </x:is>
      </x:c>
    </x:row>
    <x:row r="28" ht="36" customHeight="1">
      <x:c r="A28" s="2" t="inlineStr">
        <x:is>
          <x:t xml:space="preserve">1.CONDICIONES ESTRUCTURALES</x:t>
        </x:is>
      </x:c>
      <x:c r="B28" s="2" t="inlineStr">
        <x:is>
          <x:t xml:space="preserve">1.5 ESTRUCTURAS DE COORDINACIÓN EN MATERIA DE IGUALDAD</x:t>
        </x:is>
      </x:c>
      <x:c r="C28" s="2" t="inlineStr">
        <x:is>
          <x:t xml:space="preserve">1.5.3. La existencia de una estructura de coordinación interinstitucional en el ámbito de la violencia contra las mujeres.</x:t>
        </x:is>
      </x:c>
      <x:c r="D28" s="7" t="inlineStr">
        <x:is>
          <x:t xml:space="preserve">SI</x:t>
        </x:is>
      </x:c>
      <x:c r="E28" s="4" t="n">
        <x:f>IF(D28="SI",1,IF(D28="NO",0,IF(D28="PARCIAL",0.5,"")))</x:f>
        <x:v>1</x:v>
      </x:c>
      <x:c r="F28" s="2" t="inlineStr">
        <x:is>
          <x:t xml:space="preserve">Actas del protocolo interinstitucional de Busturialdea 2022-2025 y convocatoria 2026; Sesiones de trabajo con Jone Gurrea, tecnica de igualdad (3 y 17/07/2026)</x:t>
        </x:is>
      </x:c>
      <x:c r="G28" s="2" t="inlineStr">
        <x:is>
          <x:t xml:space="preserve">Mesa del protocolo interinstitucional de la Mancomunidad de Busturialdea, con reunion anual documentada y convocatoria de 2026.</x:t>
        </x:is>
      </x:c>
    </x:row>
    <x:row r="29" ht="24" customHeight="1">
      <x:c r="A29" s="2" t="inlineStr">
        <x:is>
          <x:t xml:space="preserve">1.CONDICIONES ESTRUCTURALES</x:t>
        </x:is>
      </x:c>
      <x:c r="B29" s="2" t="inlineStr">
        <x:is>
          <x:t xml:space="preserve">1.5 ESTRUCTURAS DE COORDINACIÓN EN MATERIA DE IGUALDAD</x:t>
        </x:is>
      </x:c>
      <x:c r="C29" s="2" t="inlineStr">
        <x:is>
          <x:t xml:space="preserve">1.5.4. La existencia de una estructura de coordinación interdepartamental en materia de violencia contra las mujeres.</x:t>
        </x:is>
      </x:c>
      <x:c r="D29" s="5" t="inlineStr">
        <x:is>
          <x:t xml:space="preserve">NO</x:t>
        </x:is>
      </x:c>
      <x:c r="E29" s="4" t="n">
        <x:f>IF(D29="SI",1,IF(D29="NO",0,IF(D29="PARCIAL",0.5,"")))</x:f>
        <x:v>0</x:v>
      </x:c>
      <x:c r="F29" s="2" t="inlineStr">
        <x:is>
          <x:t xml:space="preserve">Sesiones de trabajo con Jone Gurrea, tecnica de igualdad (3 y 17/07/2026)</x:t>
        </x:is>
      </x:c>
      <x:c r="G29" s="2" t="inlineStr">
        <x:is>
          <x:t xml:space="preserve">No consta estructura municipal interdepartamental en materia de violencia machista; la coordinacion con Policia Municipal es informal.</x:t>
        </x:is>
      </x:c>
    </x:row>
    <x:row r="30" ht="48" customHeight="1">
      <x:c r="A30" s="2" t="inlineStr">
        <x:is>
          <x:t xml:space="preserve">1.CONDICIONES ESTRUCTURALES</x:t>
        </x:is>
      </x:c>
      <x:c r="B30" s="2" t="inlineStr">
        <x:is>
          <x:t xml:space="preserve">1.5 ESTRUCTURAS DE COORDINACIÓN EN MATERIA DE IGUALDAD</x:t>
        </x:is>
      </x:c>
      <x:c r="C30" s="2" t="inlineStr">
        <x:is>
          <x:t xml:space="preserve">1.5.5. La participación en estructuras de coordinación interinstitucional por parte de las unidades administrativas de igualdad, en el caso del Gobierno Vasco y las diputaciones forales, y en el caso de los Ayuntamientos, siempre que sean designados para ello.</x:t>
        </x:is>
      </x:c>
      <x:c r="D30" s="7" t="inlineStr">
        <x:is>
          <x:t xml:space="preserve">SI</x:t>
        </x:is>
      </x:c>
      <x:c r="E30" s="4" t="n">
        <x:f>IF(D30="SI",1,IF(D30="NO",0,IF(D30="PARCIAL",0.5,"")))</x:f>
        <x:v>1</x:v>
      </x:c>
      <x:c r="F30" s="2" t="inlineStr">
        <x:is>
          <x:t xml:space="preserve">Sesiones de trabajo con Jone Gurrea, tecnica de igualdad (3 y 17/07/2026)</x:t>
        </x:is>
      </x:c>
      <x:c r="G30" s="2" t="inlineStr">
        <x:is>
          <x:t xml:space="preserve">Participacion en Berdinsarea (una de las dos asambleas tecnicas anuales se celebro en Gernika-Lumo), en tres espacios de Lurralde Sarea (presupuestos con perspectiva de genero, fiestas igualitarias y respuesta municipal a la violencia machista) y en la Comision Provincial de Violencia sobre la Mujer de Bizkaia.</x:t>
        </x:is>
      </x:c>
    </x:row>
    <x:row r="31" ht="24" customHeight="1">
      <x:c r="A31" s="2" t="inlineStr">
        <x:is>
          <x:t xml:space="preserve">1.CONDICIONES ESTRUCTURALES</x:t>
        </x:is>
      </x:c>
      <x:c r="B31" s="2" t="inlineStr">
        <x:is>
          <x:t xml:space="preserve">1.6 ORGANOS PARA EL DIALOGO SOCIAL</x:t>
        </x:is>
      </x:c>
      <x:c r="C31" s="2" t="inlineStr">
        <x:is>
          <x:t xml:space="preserve">1.6.1. La existencia de espacios para la participación y el diálogo, al menos, entre asociaciones y colectivos feministas, a nivel local, foral y/o autonómico.</x:t>
        </x:is>
      </x:c>
      <x:c r="D31" s="5" t="inlineStr">
        <x:is>
          <x:t xml:space="preserve">NO</x:t>
        </x:is>
      </x:c>
      <x:c r="E31" s="4" t="n">
        <x:f>IF(D31="SI",1,IF(D31="NO",0,IF(D31="PARCIAL",0.5,"")))</x:f>
        <x:v>0</x:v>
      </x:c>
      <x:c r="F31" s="2" t="inlineStr">
        <x:is>
          <x:t xml:space="preserve">Sesiones de trabajo con Jone Gurrea, tecnica de igualdad (3 y 17/07/2026)</x:t>
        </x:is>
      </x:c>
      <x:c r="G31" s="2" t="inlineStr">
        <x:is>
          <x:t xml:space="preserve">El Consejo de Igualdad creado en 2016 se extinguio y el intento de reactivacion de 2020 no tuvo continuidad. No existe foro ni espacio estable de participacion con el movimiento feminista.</x:t>
        </x:is>
      </x:c>
    </x:row>
    <x:row r="32" ht="36" customHeight="1">
      <x:c r="A32" s="2" t="inlineStr">
        <x:is>
          <x:t xml:space="preserve">1.CONDICIONES ESTRUCTURALES</x:t>
        </x:is>
      </x:c>
      <x:c r="B32" s="2" t="inlineStr">
        <x:is>
          <x:t xml:space="preserve">1.6 ORGANOS PARA EL DIALOGO SOCIAL</x:t>
        </x:is>
      </x:c>
      <x:c r="C32" s="2" t="inlineStr">
        <x:is>
          <x:t xml:space="preserve">1.6.2. La puesta en marcha de procesos dirigidos a garantizar la participación, al menos, de asociaciones y colectivos feministas a nivel local, foral y/o autonómico.</x:t>
        </x:is>
      </x:c>
      <x:c r="D32" s="3" t="inlineStr">
        <x:is>
          <x:t xml:space="preserve">PARCIAL</x:t>
        </x:is>
      </x:c>
      <x:c r="E32" s="4" t="n">
        <x:f>IF(D32="SI",1,IF(D32="NO",0,IF(D32="PARCIAL",0.5,"")))</x:f>
        <x:v>0.5</x:v>
      </x:c>
      <x:c r="F32" s="2" t="inlineStr">
        <x:is>
          <x:t xml:space="preserve">Sesiones de trabajo con Jone Gurrea, tecnica de igualdad (3 y 17/07/2026)</x:t>
        </x:is>
      </x:c>
      <x:c r="G32" s="2" t="inlineStr">
        <x:is>
          <x:t xml:space="preserve">Sin estructura estable, pero si procesos puntuales: elaboracion del protocolo ante agresiones machistas en fiestas (2024) con el movimiento feminista y mesa de cuidados con participacion de mujeres migradas y trabajadoras del hogar.</x:t>
        </x:is>
      </x:c>
    </x:row>
    <x:row r="33" ht="48" customHeight="1">
      <x:c r="A33" s="2" t="inlineStr">
        <x:is>
          <x:t xml:space="preserve">2. PROCESOS DE TRABAJO</x:t>
        </x:is>
      </x:c>
      <x:c r="B33" s="2" t="inlineStr">
        <x:is>
          <x:t xml:space="preserve">2.1   PRESUPUESTOS CON PERSPECTIVA DE GÉNERO</x:t>
        </x:is>
      </x:c>
      <x:c r="C33" s="2" t="inlineStr">
        <x:is>
          <x:t xml:space="preserve">2.1.1. La existencia de un presupuesto anual dirigido al ámbito de la igualdad de mujeres y hombres.</x:t>
        </x:is>
      </x:c>
      <x:c r="D33" s="7" t="inlineStr">
        <x:is>
          <x:t xml:space="preserve">SI</x:t>
        </x:is>
      </x:c>
      <x:c r="E33" s="4" t="n">
        <x:f>IF(D33="SI",1,IF(D33="NO",0,IF(D33="PARCIAL",0.5,"")))</x:f>
        <x:v>1</x:v>
      </x:c>
      <x:c r="F33" s="2" t="inlineStr">
        <x:is>
          <x:t xml:space="preserve">Sesiones de trabajo con Jone Gurrea, tecnica de igualdad (3 y 17/07/2026); Presupuesto 2025 del Ayuntamiento publicado en la web municipal (ultimo disponible)</x:t>
        </x:is>
      </x:c>
      <x:c r="G33" s="2" t="inlineStr">
        <x:is>
          <x:t xml:space="preserve">Partida anual de igualdad de 38.000 euros mas partida vinculada de 50.000 euros, desde la que se ha financiado la mesa de cuidados. El presupuesto general de gastos de 2025 es de 20.972.457,36 euros. El documento publicado es un resumen por capitulos y articulos, sin desglose por programas, por lo que la partida de igualdad no aparece identificada en el documento presupuestario publico.</x:t>
        </x:is>
      </x:c>
    </x:row>
    <x:row r="34" ht="24" customHeight="1">
      <x:c r="A34" s="2" t="inlineStr">
        <x:is>
          <x:t xml:space="preserve">2. PROCESOS DE TRABAJO</x:t>
        </x:is>
      </x:c>
      <x:c r="B34" s="2" t="inlineStr">
        <x:is>
          <x:t xml:space="preserve">2.1   PRESUPUESTOS CON PERSPECTIVA DE GÉNERO</x:t>
        </x:is>
      </x:c>
      <x:c r="C34" s="2" t="inlineStr">
        <x:is>
          <x:t xml:space="preserve">2.1.2.La evaluación previa del impacto de género del presupuesto institucional.</x:t>
        </x:is>
      </x:c>
      <x:c r="D34" s="5" t="inlineStr">
        <x:is>
          <x:t xml:space="preserve">NO</x:t>
        </x:is>
      </x:c>
      <x:c r="E34" s="4" t="n">
        <x:f>IF(D34="SI",1,IF(D34="NO",0,IF(D34="PARCIAL",0.5,"")))</x:f>
        <x:v>0</x:v>
      </x:c>
      <x:c r="F34" s="2" t="inlineStr">
        <x:is>
          <x:t xml:space="preserve">Sesiones de trabajo con Jone Gurrea, tecnica de igualdad (3 y 17/07/2026)</x:t>
        </x:is>
      </x:c>
      <x:c r="G34" s="2" t="inlineStr">
        <x:is>
          <x:t xml:space="preserve">No se realiza evaluacion previa de impacto de genero del presupuesto municipal.</x:t>
        </x:is>
      </x:c>
    </x:row>
    <x:row r="35" ht="24" customHeight="1">
      <x:c r="A35" s="2" t="inlineStr">
        <x:is>
          <x:t xml:space="preserve">2. PROCESOS DE TRABAJO</x:t>
        </x:is>
      </x:c>
      <x:c r="B35" s="2" t="inlineStr">
        <x:is>
          <x:t xml:space="preserve">2.1   PRESUPUESTOS CON PERSPECTIVA DE GÉNERO</x:t>
        </x:is>
      </x:c>
      <x:c r="C35" s="2" t="inlineStr">
        <x:is>
          <x:t xml:space="preserve">2.1.3.El desarrollo de los proyectos o programas para el avance de la inserción de la perspectiva de género en los presupuestos.</x:t>
        </x:is>
      </x:c>
      <x:c r="D35" s="3" t="str">
        <x:v>NO</x:v>
      </x:c>
      <x:c r="E35" s="4" t="n">
        <x:f>IF(D35="SI",1,IF(D35="NO",0,IF(D35="PARCIAL",0.5,"")))</x:f>
        <x:v>0</x:v>
      </x:c>
      <x:c r="F35" s="2" t="str">
        <x:v>Sesiones de trabajo con Jone Gurrea, tecnica de igualdad (3 y 17/07/2026); Aclaración de Helena, 09/09/2026.</x:v>
      </x:c>
      <x:c r="G35" s="2" t="str">
        <x:v>La técnica participa en la comunidad de práctica sobre presupuestos con perspectiva de género de Lurralde Sarea. Esta participación todavía no se ha trasladado al procedimiento presupuestario municipal, por lo que el indicador se considera no realizado.</x:v>
      </x:c>
    </x:row>
    <x:row r="36" ht="108" customHeight="1">
      <x:c r="A36" s="2" t="inlineStr">
        <x:is>
          <x:t xml:space="preserve">2. PROCESOS DE TRABAJO</x:t>
        </x:is>
      </x:c>
      <x:c r="B36" s="2" t="inlineStr">
        <x:is>
          <x:t xml:space="preserve">2.1   PRESUPUESTOS CON PERSPECTIVA DE GÉNERO</x:t>
        </x:is>
      </x:c>
      <x:c r="C36" s="2" t="inlineStr">
        <x:is>
          <x:t xml:space="preserve">2.1.4.El aumento del porcentaje dirigido a políticas de igualdad, hasta alcanzar al menos el 1% por ciento.</x:t>
        </x:is>
      </x:c>
      <x:c r="D36" s="5" t="inlineStr">
        <x:is>
          <x:t xml:space="preserve">NO</x:t>
        </x:is>
      </x:c>
      <x:c r="E36" s="4" t="n">
        <x:f>IF(D36="SI",1,IF(D36="NO",0,IF(D36="PARCIAL",0.5,"")))</x:f>
        <x:v>0</x:v>
      </x:c>
      <x:c r="F36" s="2" t="inlineStr">
        <x:is>
          <x:t xml:space="preserve">Web municipal gernika-lumo.eus (consulta 02/09/2026); Presupuesto 2025 del Ayuntamiento publicado en la web municipal (ultimo disponible)</x:t>
        </x:is>
      </x:c>
      <x:c r="G36" s="2" t="inlineStr">
        <x:is>
          <x:t xml:space="preserve">Pendiente del presupuesto municipal total de 2026 para calcular el porcentaje destinado a igualdad. El ultimo presupuesto publicado en la web municipal es el de 2025 (ayuntamiento y organismos autonomos); el de 2026, aprobado en enero de 2026 segun la prensa local, no esta publicado. Pendiente de obtener la cifra global para calcular el porcentaje destinado a igualdad. Calculo: el presupuesto general de gastos de 2025 asciende a 20.972.457,36 euros. La partida de igualdad de 38.000 euros representa el 0,18%; sumando la partida vinculada de 50.000 euros, el 0,42%. Aun anadiendo el coste de la dedicacion parcial de la tecnica, el porcentaje se mantiene muy por debajo del 1%. Además, el indicador especifica aumento de porcentaje y la partida se ha mantenido estable los últimos tres años. </x:t>
        </x:is>
      </x:c>
    </x:row>
    <x:row r="37" ht="24" customHeight="1">
      <x:c r="A37" s="2" t="inlineStr">
        <x:is>
          <x:t xml:space="preserve">2. PROCESOS DE TRABAJO</x:t>
        </x:is>
      </x:c>
      <x:c r="B37" s="2" t="inlineStr">
        <x:is>
          <x:t xml:space="preserve">2.1   PRESUPUESTOS CON PERSPECTIVA DE GÉNERO</x:t>
        </x:is>
      </x:c>
      <x:c r="C37" s="2" t="inlineStr">
        <x:is>
          <x:t xml:space="preserve">2.1.5.La aprobación de acuerdos, instrucciones o pautas para incluir la perspectiva de género en los presupuestos.</x:t>
        </x:is>
      </x:c>
      <x:c r="D37" s="5" t="inlineStr">
        <x:is>
          <x:t xml:space="preserve">NO</x:t>
        </x:is>
      </x:c>
      <x:c r="E37" s="4" t="n">
        <x:f>IF(D37="SI",1,IF(D37="NO",0,IF(D37="PARCIAL",0.5,"")))</x:f>
        <x:v>0</x:v>
      </x:c>
      <x:c r="F37" s="2" t="inlineStr">
        <x:is>
          <x:t xml:space="preserve">Sesiones de trabajo con Jone Gurrea, tecnica de igualdad (3 y 17/07/2026)</x:t>
        </x:is>
      </x:c>
      <x:c r="G37" s="2" t="inlineStr">
        <x:is>
          <x:t xml:space="preserve">No constan acuerdos, instrucciones ni pautas para incorporar la perspectiva de genero en los presupuestos.</x:t>
        </x:is>
      </x:c>
    </x:row>
    <x:row r="38" ht="48" customHeight="1">
      <x:c r="A38" s="2" t="inlineStr">
        <x:is>
          <x:t xml:space="preserve">2. PROCESOS DE TRABAJO</x:t>
        </x:is>
      </x:c>
      <x:c r="B38" s="2" t="inlineStr">
        <x:is>
          <x:t xml:space="preserve">2.2   ESTADÍSTICAS E INVESTIGACIONES</x:t>
        </x:is>
      </x:c>
      <x:c r="C38" s="2" t="inlineStr">
        <x:is>
          <x:t xml:space="preserve">2.2.1.La inserción de la variable del sexo en todas las recogidas de datos, encuestas y estadísticas.</x:t>
        </x:is>
      </x:c>
      <x:c r="D38" s="3" t="inlineStr">
        <x:is>
          <x:t xml:space="preserve">PARCIAL</x:t>
        </x:is>
      </x:c>
      <x:c r="E38" s="4" t="n">
        <x:f>IF(D38="SI",1,IF(D38="NO",0,IF(D38="PARCIAL",0.5,"")))</x:f>
        <x:v>0.5</x:v>
      </x:c>
      <x:c r="F38" s="2" t="inlineStr">
        <x:is>
          <x:t xml:space="preserve">Web Municipal Gernika Lumo. Formularios. Sesiones de trabajo con Jone Gurrea, tecnica de igualdad (3 y 17/07/2026); Entrevista Itxaso Elexpuru, Langileria (22/07/2026)</x:t>
        </x:is>
      </x:c>
      <x:c r="G38" s="2" t="inlineStr">
        <x:is>
          <x:t xml:space="preserve">La variable sexo esta bastante incorporada en las casillas de los impresos, pero no se ha hecho una revision formal y su aplicacion no es sistematica.</x:t>
        </x:is>
      </x:c>
    </x:row>
    <x:row r="39" ht="36" customHeight="1">
      <x:c r="A39" s="2" t="inlineStr">
        <x:is>
          <x:t xml:space="preserve">2. PROCESOS DE TRABAJO</x:t>
        </x:is>
      </x:c>
      <x:c r="B39" s="2" t="inlineStr">
        <x:is>
          <x:t xml:space="preserve">2.2   ESTADÍSTICAS E INVESTIGACIONES</x:t>
        </x:is>
      </x:c>
      <x:c r="C39" s="2" t="inlineStr">
        <x:is>
          <x:t xml:space="preserve">2.2.2.La diferenciación de sexos de forma sistemática a la hora de interpretar y utilizar la información.</x:t>
        </x:is>
      </x:c>
      <x:c r="D39" s="5" t="inlineStr">
        <x:is>
          <x:t xml:space="preserve">NO</x:t>
        </x:is>
      </x:c>
      <x:c r="E39" s="4" t="n">
        <x:f>IF(D39="SI",1,IF(D39="NO",0,IF(D39="PARCIAL",0.5,"")))</x:f>
        <x:v>0</x:v>
      </x:c>
      <x:c r="F39" s="2" t="inlineStr">
        <x:is>
          <x:t xml:space="preserve">Entrevista Cristina, Kultur Etxea (23/07/2026); Entrevista Amaia Garcia, Turismo (07/2026); Entrevista Estine Astorkia, Euskara (21/07/2026)</x:t>
        </x:is>
      </x:c>
      <x:c r="G39" s="2" t="inlineStr">
        <x:is>
          <x:t xml:space="preserve">No se diferencia por sexo de forma sistematica al interpretar la informacion. Kultur Etxea no desagrega la participacion salvo la experiencia puntual de la escuela de musica; Turismo dispone de datos por sexo y edad que nadie ha solicitado.</x:t>
        </x:is>
      </x:c>
    </x:row>
    <x:row r="40" ht="24" customHeight="1">
      <x:c r="A40" s="2" t="inlineStr">
        <x:is>
          <x:t xml:space="preserve">2. PROCESOS DE TRABAJO</x:t>
        </x:is>
      </x:c>
      <x:c r="B40" s="2" t="inlineStr">
        <x:is>
          <x:t xml:space="preserve">2.2   ESTADÍSTICAS E INVESTIGACIONES</x:t>
        </x:is>
      </x:c>
      <x:c r="C40" s="2" t="inlineStr">
        <x:is>
          <x:t xml:space="preserve">2.2.3.El cruce sistemático de la variable del sexo y otras variables a la hora de interpretar y utilizar la información.</x:t>
        </x:is>
      </x:c>
      <x:c r="D40" s="5" t="inlineStr">
        <x:is>
          <x:t xml:space="preserve">NO</x:t>
        </x:is>
      </x:c>
      <x:c r="E40" s="4" t="n">
        <x:f>IF(D40="SI",1,IF(D40="NO",0,IF(D40="PARCIAL",0.5,"")))</x:f>
        <x:v>0</x:v>
      </x:c>
      <x:c r="F40" s="2" t="inlineStr">
        <x:is>
          <x:t xml:space="preserve">Entrevistas por areas</x:t>
        </x:is>
      </x:c>
      <x:c r="G40" s="2" t="inlineStr">
        <x:is>
          <x:t xml:space="preserve">No consta cruce sistematico de la variable sexo con otras variables.</x:t>
        </x:is>
      </x:c>
    </x:row>
    <x:row r="41" ht="24" customHeight="1">
      <x:c r="A41" s="2" t="inlineStr">
        <x:is>
          <x:t xml:space="preserve">2. PROCESOS DE TRABAJO</x:t>
        </x:is>
      </x:c>
      <x:c r="B41" s="2" t="inlineStr">
        <x:is>
          <x:t xml:space="preserve">2.2   ESTADÍSTICAS E INVESTIGACIONES</x:t>
        </x:is>
      </x:c>
      <x:c r="C41" s="2" t="inlineStr">
        <x:is>
          <x:t xml:space="preserve">2.2.4.La identificación y análisis de las brechas de género a la hora de interpretar la información.</x:t>
        </x:is>
      </x:c>
      <x:c r="D41" s="5" t="inlineStr">
        <x:is>
          <x:t xml:space="preserve">NO</x:t>
        </x:is>
      </x:c>
      <x:c r="E41" s="4" t="n">
        <x:f>IF(D41="SI",1,IF(D41="NO",0,IF(D41="PARCIAL",0.5,"")))</x:f>
        <x:v>0</x:v>
      </x:c>
      <x:c r="F41" s="2" t="inlineStr">
        <x:is>
          <x:t xml:space="preserve">Entrevistas por areas</x:t>
        </x:is>
      </x:c>
      <x:c r="G41" s="2" t="inlineStr">
        <x:is>
          <x:t xml:space="preserve">No se identifican ni analizan brechas de genero de forma sistematica en la informacion municipal.</x:t>
        </x:is>
      </x:c>
    </x:row>
    <x:row r="42" ht="24" customHeight="1">
      <x:c r="A42" s="2" t="inlineStr">
        <x:is>
          <x:t xml:space="preserve">2. PROCESOS DE TRABAJO</x:t>
        </x:is>
      </x:c>
      <x:c r="B42" s="2" t="inlineStr">
        <x:is>
          <x:t xml:space="preserve">2.2   ESTADÍSTICAS E INVESTIGACIONES</x:t>
        </x:is>
      </x:c>
      <x:c r="C42" s="2" t="inlineStr">
        <x:is>
          <x:t xml:space="preserve">2.2.5.La inclusión de indicadores de género que ayuden a conocer mejor las desigualdades entre mujeres y hombres.</x:t>
        </x:is>
      </x:c>
      <x:c r="D42" s="5" t="inlineStr">
        <x:is>
          <x:t xml:space="preserve">NO</x:t>
        </x:is>
      </x:c>
      <x:c r="E42" s="4" t="n">
        <x:f>IF(D42="SI",1,IF(D42="NO",0,IF(D42="PARCIAL",0.5,"")))</x:f>
        <x:v>0</x:v>
      </x:c>
      <x:c r="F42" s="2" t="inlineStr">
        <x:is>
          <x:t xml:space="preserve">Entrevistas por areas</x:t>
        </x:is>
      </x:c>
      <x:c r="G42" s="2" t="inlineStr">
        <x:is>
          <x:t xml:space="preserve">No se han definido indicadores de genero en los sistemas de informacion municipales.</x:t>
        </x:is>
      </x:c>
    </x:row>
    <x:row r="43" ht="36" customHeight="1">
      <x:c r="A43" s="2" t="inlineStr">
        <x:is>
          <x:t xml:space="preserve">2. PROCESOS DE TRABAJO</x:t>
        </x:is>
      </x:c>
      <x:c r="B43" s="2" t="inlineStr">
        <x:is>
          <x:t xml:space="preserve">2.3.    FORMACIÓN EN IGUALDAD</x:t>
        </x:is>
      </x:c>
      <x:c r="C43" s="2" t="inlineStr">
        <x:is>
          <x:t xml:space="preserve">2.3.1.La existencia de un plan de formación en ámbito de igualdad de mujeres y hombres.</x:t>
        </x:is>
      </x:c>
      <x:c r="D43" s="5" t="inlineStr">
        <x:is>
          <x:t xml:space="preserve">NO</x:t>
        </x:is>
      </x:c>
      <x:c r="E43" s="4" t="n">
        <x:f>IF(D43="SI",1,IF(D43="NO",0,IF(D43="PARCIAL",0.5,"")))</x:f>
        <x:v>0</x:v>
      </x:c>
      <x:c r="F43" s="2" t="inlineStr">
        <x:is>
          <x:t xml:space="preserve">Sesiones de trabajo con Jone Gurrea, tecnica de igualdad (3 y 17/07/2026); Entrevista Itxaso Elexpuru, Langileria (22/07/2026); Entrevista Cristina, Kultur Etxea (23/07/2026)</x:t>
        </x:is>
      </x:c>
      <x:c r="G43" s="2" t="inlineStr">
        <x:is>
          <x:t xml:space="preserve">No existe plan de formacion en igualdad ni, en general, plan de formacion municipal: la formacion se tramita a demanda individual.</x:t>
        </x:is>
      </x:c>
    </x:row>
    <x:row r="44" ht="24" customHeight="1">
      <x:c r="A44" s="2" t="inlineStr">
        <x:is>
          <x:t xml:space="preserve">2. PROCESOS DE TRABAJO</x:t>
        </x:is>
      </x:c>
      <x:c r="B44" s="2" t="inlineStr">
        <x:is>
          <x:t xml:space="preserve">2.3.    FORMACIÓN EN IGUALDAD</x:t>
        </x:is>
      </x:c>
      <x:c r="C44" s="2" t="inlineStr">
        <x:is>
          <x:t xml:space="preserve">2.3.2.La inclusión de la perspectiva de género en actividades de formación que no versen sobre la materia de igualdad de mujeres y hombres.</x:t>
        </x:is>
      </x:c>
      <x:c r="D44" s="5" t="inlineStr">
        <x:is>
          <x:t xml:space="preserve">NO</x:t>
        </x:is>
      </x:c>
      <x:c r="E44" s="4" t="n">
        <x:f>IF(D44="SI",1,IF(D44="NO",0,IF(D44="PARCIAL",0.5,"")))</x:f>
        <x:v>0</x:v>
      </x:c>
      <x:c r="F44" s="2" t="inlineStr">
        <x:is>
          <x:t xml:space="preserve">Entrevistas por areas</x:t>
        </x:is>
      </x:c>
      <x:c r="G44" s="2" t="inlineStr">
        <x:is>
          <x:t xml:space="preserve">No consta inclusion de la perspectiva de genero en formaciones de otras materias.</x:t>
        </x:is>
      </x:c>
    </x:row>
    <x:row r="45" ht="96" customHeight="1">
      <x:c r="A45" s="2" t="inlineStr">
        <x:is>
          <x:t xml:space="preserve">2. PROCESOS DE TRABAJO</x:t>
        </x:is>
      </x:c>
      <x:c r="B45" s="2" t="str">
        <x:v>2.4.    ACCESO, PROVISIÓN Y PROMOCIÓN AL EMPLEO PÚBLICO</x:v>
      </x:c>
      <x:c r="C45" s="2" t="inlineStr">
        <x:is>
          <x:t xml:space="preserve">2.3.3.La valoración de formación y méritos en materia de igualdad, en procesos de selección que no tienen una conexión específica con puestos de trabajo relacionados con el área de igualdad.</x:t>
        </x:is>
      </x:c>
      <x:c r="D45" s="5" t="inlineStr">
        <x:is>
          <x:t xml:space="preserve">NO</x:t>
        </x:is>
      </x:c>
      <x:c r="E45" s="4" t="n">
        <x:f>IF(D45="SI",1,IF(D45="NO",0,IF(D45="PARCIAL",0.5,"")))</x:f>
        <x:v>0</x:v>
      </x:c>
      <x:c r="F45" s="2" t="inlineStr">
        <x:is>
          <x:t xml:space="preserve">Web municipal de Gernika-Lumo, apartado O.P.E. (consulta 02/09/2026): bases del proceso de estabilizacion de empleo temporal (BOB num. 248, de 30/12/2022) y sus correcciones posteriores (BOB de 12/04/2023 y de 10/05/2023), y convocatoria en el BOE de 30/05/2023. No se han encontrado bases de procesos posteriores publicadas en la web municipal: los demas procesos disponibles son de 2018 y 2019, anteriores al periodo evaluado.</x:t>
        </x:is>
      </x:c>
      <x:c r="G45" s="2" t="inlineStr">
        <x:is>
          <x:t xml:space="preserve">MUESTRA ANALIZADA: unico proceso selectivo del periodo publicado en la web municipal, el proceso extraordinario de estabilizacion de empleo temporal (Ley 20/2021), aprobado por Decreto de Alcaldia num. 347 de 19/05/2022 y publicado integramente en el BOB num. 248 de 30/12/2022. Comprende unas bases generales y trece bases especificas por plaza (arquitecto/a, tecnico/a superior de comercio, tecnico/a medio de euskera y traduccion, tecnico/a medio de medio ambiente, administrativo/a-traductor/a, auxiliar administrativo/a, dinamizador/a de euskera, entre otras). Se ha revisado el texto integro de las bases generales y de las especificas. RESULTADO: NO SE CUMPLE. El baremo de meritos (base decima y Anexo I) reparte 100 puntos entre dos bloques: a) experiencia, hasta 80 puntos, desglosada en experiencia general (60) y especifica (20); y b) otros meritos, hasta 20 puntos, integrados por b.1 titulacion academica superior a la exigida (10 puntos), b.2 titulacion del mismo nivel distinta de la acreditada como requisito (7,5), b.3 horas de recepcion de cursos formativos (hasta 20), b.4 horas de imparticion de cursos formativos (hasta 20), b.5 conocimientos de informatica acreditados mediante IT Txartela (hasta 20) y b.6-b.7 conocimiento de euskera (hasta 16). No existe ningun merito de formacion, experiencia ni titulacion en materia de igualdad de mujeres y hombres. Ademas, los dos apartados de formacion estan expresamente acotados: b.3 y b.4 solo valoran cursos relacionados, en el texto de las bases, con el ambito funcional de los puestos de trabajo asociados a las plazas convocadas, de modo que la formacion en igualdad solo podria computar en las plazas cuyo ambito funcional sea la propia igualdad. En consecuencia, en los procesos sin conexion especifica con el area de igualdad, que son los que mide este indicador, la formacion en igualdad no puntua.</x:t>
        </x:is>
      </x:c>
    </x:row>
    <x:row r="46" ht="96" customHeight="1">
      <x:c r="A46" s="2" t="inlineStr">
        <x:is>
          <x:t xml:space="preserve">2. PROCESOS DE TRABAJO</x:t>
        </x:is>
      </x:c>
      <x:c r="B46" s="2" t="inlineStr">
        <x:is>
          <x:t xml:space="preserve">2.4.    ACCESO, PROVISIÓN Y PROMOCIÓN AL EMPLEO PÚBLICO</x:t>
        </x:is>
      </x:c>
      <x:c r="C46" s="2" t="inlineStr">
        <x:is>
          <x:t xml:space="preserve">2.4.1.La inserción de contenidos sobre la igualdad entre mujeres y hombres en procesos de acceso, provisión y promoción al empleo público, provisión y subida de nivel, para cualquier puesto de trabajo.</x:t>
        </x:is>
      </x:c>
      <x:c r="D46" s="5" t="inlineStr">
        <x:is>
          <x:t xml:space="preserve">NO</x:t>
        </x:is>
      </x:c>
      <x:c r="E46" s="4" t="n">
        <x:f>IF(D46="SI",1,IF(D46="NO",0,IF(D46="PARCIAL",0.5,"")))</x:f>
        <x:v>0</x:v>
      </x:c>
      <x:c r="F46" s="2" t="inlineStr">
        <x:is>
          <x:t xml:space="preserve">Web municipal de Gernika-Lumo, apartado O.P.E. (consulta 02/09/2026): bases del proceso de estabilizacion de empleo temporal (BOB num. 248, de 30/12/2022) y sus correcciones posteriores (BOB de 12/04/2023 y de 10/05/2023), y convocatoria en el BOE de 30/05/2023. No se han encontrado bases de procesos posteriores publicadas en la web municipal: los demas procesos disponibles son de 2018 y 2019, anteriores al periodo evaluado.</x:t>
        </x:is>
      </x:c>
      <x:c r="G46" s="2" t="inlineStr">
        <x:is>
          <x:t xml:space="preserve">MUESTRA ANALIZADA: unico proceso selectivo del periodo publicado en la web municipal, el proceso extraordinario de estabilizacion de empleo temporal (Ley 20/2021), aprobado por Decreto de Alcaldia num. 347 de 19/05/2022 y publicado integramente en el BOB num. 248 de 30/12/2022. Comprende unas bases generales y trece bases especificas por plaza (arquitecto/a, tecnico/a superior de comercio, tecnico/a medio de euskera y traduccion, tecnico/a medio de medio ambiente, administrativo/a-traductor/a, auxiliar administrativo/a, dinamizador/a de euskera, entre otras). Se ha revisado el texto integro de las bases generales y de las especificas. RESULTADO: NO SE CUMPLE. La base decima establece que el procedimiento de seleccion es el de concurso, y las bases especificas concretan que el sistema de seleccion sera el de concurso, con una primera parte de valoracion de meritos alegados en el Formulario de Autovaloracion (Anexo III) y una segunda parte consistente en una prueba de euskera. No existe fase de oposicion, ni temario, ni programa de materias, de modo que no hay ningun soporte en el que insertar contenidos sobre igualdad de mujeres y hombres, y de hecho no se insertan. Tampoco los hay en la fase de concurso, segun lo analizado en el indicador 2.3.3. Debe hacerse constar que la ausencia de temario deriva de la naturaleza del proceso, un concurso de estabilizacion regulado por las disposiciones adicionales sexta y octava de la Ley 20/2021, y no de una decision del Ayuntamiento; pero el resultado verificable es que en el unico proceso del periodo no se insertaron contenidos de igualdad.</x:t>
        </x:is>
      </x:c>
    </x:row>
    <x:row r="47" ht="84" customHeight="1">
      <x:c r="A47" s="2" t="inlineStr">
        <x:is>
          <x:t xml:space="preserve">2. PROCESOS DE TRABAJO</x:t>
        </x:is>
      </x:c>
      <x:c r="B47" s="2" t="inlineStr">
        <x:is>
          <x:t xml:space="preserve">2.4.    ACCESO, PROVISIÓN Y PROMOCIÓN AL EMPLEO PÚBLICO</x:t>
        </x:is>
      </x:c>
      <x:c r="C47" s="2" t="inlineStr">
        <x:is>
          <x:t xml:space="preserve">2.4.2.La valoración de las desigualdades entre mujeres y hombres e inserción de medidas para corregirlas en las bases para el acceso, provisión y promoción al empleo público.</x:t>
        </x:is>
      </x:c>
      <x:c r="D47" s="7" t="inlineStr">
        <x:is>
          <x:t xml:space="preserve">SI</x:t>
        </x:is>
      </x:c>
      <x:c r="E47" s="4" t="n">
        <x:f>IF(D47="SI",1,IF(D47="NO",0,IF(D47="PARCIAL",0.5,"")))</x:f>
        <x:v>1</x:v>
      </x:c>
      <x:c r="F47" s="2" t="inlineStr">
        <x:is>
          <x:t xml:space="preserve">Web municipal de Gernika-Lumo, apartado O.P.E. (consulta 02/09/2026): bases del proceso de estabilizacion de empleo temporal (BOB num. 248, de 30/12/2022) y sus correcciones posteriores (BOB de 12/04/2023 y de 10/05/2023), y convocatoria en el BOE de 30/05/2023. No se han encontrado bases de procesos posteriores publicadas en la web municipal: los demas procesos disponibles son de 2018 y 2019, anteriores al periodo evaluado.</x:t>
        </x:is>
      </x:c>
      <x:c r="G47" s="2" t="inlineStr">
        <x:is>
          <x:t xml:space="preserve">MUESTRA ANALIZADA: unico proceso selectivo del periodo publicado en la web municipal, el proceso extraordinario de estabilizacion de empleo temporal (Ley 20/2021), aprobado por Decreto de Alcaldia num. 347 de 19/05/2022 y publicado integramente en el BOB num. 248 de 30/12/2022. Comprende unas bases generales y trece bases especificas por plaza (arquitecto/a, tecnico/a superior de comercio, tecnico/a medio de euskera y traduccion, tecnico/a medio de medio ambiente, administrativo/a-traductor/a, auxiliar administrativo/a, dinamizador/a de euskera, entre otras). Se ha revisado el texto integro de las bases generales y de las especificas. RESULTADO: SE CUMPLE. Las bases generales incorporan una clausula de prioridad (base 10.4) del siguiente tenor literal: en caso de existir igualdad de capacitacion, se dara prioridad a las mujeres en aquellas escalas en las que la representacion de las mujeres sea inferior al 40 por ciento, salvo que concurran en el otro candidato motivos que, no siendo discriminatorios por razon de sexo, justifiquen la no aplicacion de la medida, como la pertenencia a otros colectivos con especiales dificultades para el acceso y promocion en el empleo. La clausula se fundamenta expresamente en el articulo 27.2 de la Ley 6/1989 de la Funcion Publica Vasca y en el articulo 20 de la Ley 4/2005. En las bases especificas del proceso de la Policia Municipal se incorpora ademas una clausula de prioridad propia (base 9.3), amparada en el articulo 66 del Texto Refundido de la Ley de Policia del Pais Vasco, con la finalidad expresa de corregir la infrarrepresentacion de las mujeres, y se preve que los empates en el orden de clasificacion se diriman conforme a los criterios de la Ley 4/2005. Se trata por tanto de una medida de accion positiva efectivamente insertada en las bases, que responde a una desigualdad previamente identificada, la infrarrepresentacion femenina por escalas.</x:t>
        </x:is>
      </x:c>
    </x:row>
    <x:row r="48" ht="84" customHeight="1">
      <x:c r="A48" s="2" t="inlineStr">
        <x:is>
          <x:t xml:space="preserve">2. PROCESOS DE TRABAJO</x:t>
        </x:is>
      </x:c>
      <x:c r="B48" s="2" t="inlineStr">
        <x:is>
          <x:t xml:space="preserve">2.4.    ACCESO, PROVISIÓN Y PROMOCIÓN AL EMPLEO PÚBLICO</x:t>
        </x:is>
      </x:c>
      <x:c r="C48" s="2" t="inlineStr">
        <x:is>
          <x:t xml:space="preserve">2.4.3.La inserción de cláusulas sobre una representación equilibrada en la composición de jurados de acceso, provisión y promoción al empleo público.</x:t>
        </x:is>
      </x:c>
      <x:c r="D48" s="7" t="inlineStr">
        <x:is>
          <x:t xml:space="preserve">SI</x:t>
        </x:is>
      </x:c>
      <x:c r="E48" s="4" t="n">
        <x:f>IF(D48="SI",1,IF(D48="NO",0,IF(D48="PARCIAL",0.5,"")))</x:f>
        <x:v>1</x:v>
      </x:c>
      <x:c r="F48" s="2" t="inlineStr">
        <x:is>
          <x:t xml:space="preserve">Web municipal de Gernika-Lumo, apartado O.P.E. (consulta 02/09/2026): bases del proceso de estabilizacion de empleo temporal (BOB num. 248, de 30/12/2022) y sus correcciones posteriores (BOB de 12/04/2023 y de 10/05/2023), y convocatoria en el BOE de 30/05/2023. No se han encontrado bases de procesos posteriores publicadas en la web municipal: los demas procesos disponibles son de 2018 y 2019, anteriores al periodo evaluado.</x:t>
        </x:is>
      </x:c>
      <x:c r="G48" s="2" t="inlineStr">
        <x:is>
          <x:t xml:space="preserve">MUESTRA ANALIZADA: unico proceso selectivo del periodo publicado en la web municipal, el proceso extraordinario de estabilizacion de empleo temporal (Ley 20/2021), aprobado por Decreto de Alcaldia num. 347 de 19/05/2022 y publicado integramente en el BOB num. 248 de 30/12/2022. Comprende unas bases generales y trece bases especificas por plaza (arquitecto/a, tecnico/a superior de comercio, tecnico/a medio de euskera y traduccion, tecnico/a medio de medio ambiente, administrativo/a-traductor/a, auxiliar administrativo/a, dinamizador/a de euskera, entre otras). Se ha revisado el texto integro de las bases generales y de las especificas. RESULTADO: SE CUMPLE. La base 17.1, relativa a la composicion del tribunal, establece literalmente que, salvo que se justifique debidamente su no pertinencia, la composicion del tribunal ha de ser equilibrada de mujeres y hombres con capacitacion, competencia y preparacion adecuada, y que se considera que existe una representacion equilibrada cuando en los organos de mas de cuatro miembros cada sexo esta representado al menos al 40 por ciento, de conformidad con lo dispuesto en el articulo 31 de la Ley 6/1989 de la Funcion Publica Vasca y el articulo 20 de la Ley 4/2005. La clausula esta correctamente formulada: fija el umbral cuantitativo del 40 por ciento, lo vincula a la capacitacion de las personas designadas y somete la excepcion a justificacion motivada. Queda fuera del alcance de este analisis documental si la composicion real de los tribunales nombrados respeto ese umbral, dado que los nombramientos se publican junto con la relacion definitiva de personas admitidas y no forman parte de las bases.</x:t>
        </x:is>
      </x:c>
    </x:row>
    <x:row r="49" ht="60" customHeight="1">
      <x:c r="A49" s="2" t="inlineStr">
        <x:is>
          <x:t xml:space="preserve">2. PROCESOS DE TRABAJO</x:t>
        </x:is>
      </x:c>
      <x:c r="B49" s="2" t="inlineStr">
        <x:is>
          <x:t xml:space="preserve">2.4.    ACCESO, PROVISIÓN Y PROMOCIÓN AL EMPLEO PÚBLICO</x:t>
        </x:is>
      </x:c>
      <x:c r="C49" s="2" t="inlineStr">
        <x:is>
          <x:t xml:space="preserve">2.4.4.La capacidad de garantizar la perspectiva de género en los jurados de procesos selección, por parte de las personas trabajadoras competentes en función pública.</x:t>
        </x:is>
      </x:c>
      <x:c r="D49" s="5" t="inlineStr">
        <x:is>
          <x:t xml:space="preserve">NO</x:t>
        </x:is>
      </x:c>
      <x:c r="E49" s="4" t="n">
        <x:f>IF(D49="SI",1,IF(D49="NO",0,IF(D49="PARCIAL",0.5,"")))</x:f>
        <x:v>0</x:v>
      </x:c>
      <x:c r="F49" s="2" t="inlineStr">
        <x:is>
          <x:t xml:space="preserve">Web municipal de Gernika-Lumo, apartado O.P.E. (consulta 02/09/2026): bases del proceso de estabilizacion de empleo temporal (BOB num. 248, de 30/12/2022) y sus correcciones posteriores (BOB de 12/04/2023 y de 10/05/2023), y convocatoria en el BOE de 30/05/2023. No se han encontrado bases de procesos posteriores publicadas en la web municipal: los demas procesos disponibles son de 2018 y 2019, anteriores al periodo evaluado.</x:t>
        </x:is>
      </x:c>
      <x:c r="G49" s="2" t="inlineStr">
        <x:is>
          <x:t xml:space="preserve">MUESTRA ANALIZADA: unico proceso selectivo del periodo publicado en la web municipal, el proceso extraordinario de estabilizacion de empleo temporal (Ley 20/2021), aprobado por Decreto de Alcaldia num. 347 de 19/05/2022 y publicado integramente en el BOB num. 248 de 30/12/2022. Comprende unas bases generales y trece bases especificas por plaza (arquitecto/a, tecnico/a superior de comercio, tecnico/a medio de euskera y traduccion, tecnico/a medio de medio ambiente, administrativo/a-traductor/a, auxiliar administrativo/a, dinamizador/a de euskera, entre otras). Se ha revisado el texto integro de las bases generales y de las especificas. RESULTADO: NO SE CUMPLE. Ni las bases generales ni las especificas exigen formacion o capacitacion en materia de igualdad a las personas que integran los tribunales. La base 17.1 preve que el tribunal pueda disponer del asesoramiento de especialistas, pero acota expresamente su alcance: dichas personas, en su colaboracion con el tribunal, se limitaran a asesorar en sus especialidades tecnicas. Igualmente se preve la colaboracion de personal tecnico del Ayuntamiento para cuestiones de indole tecnico relacionadas con los meritos alegados. Es decir, el unico asesoramiento externo contemplado es de contenido tecnico-profesional, sin que se prevea en ningun momento asesoramiento en perspectiva de genero ni intervencion del servicio de igualdad. La unica exigencia relacionada con la igualdad que recae sobre el tribunal es la de su propia composicion equilibrada (indicador 2.4.3), que garantiza presencia pero no capacitacion.</x:t>
        </x:is>
      </x:c>
    </x:row>
    <x:row r="50" ht="36" customHeight="1">
      <x:c r="A50" s="2" t="inlineStr">
        <x:is>
          <x:t xml:space="preserve">2. PROCESOS DE TRABAJO</x:t>
        </x:is>
      </x:c>
      <x:c r="B50" s="2" t="inlineStr">
        <x:is>
          <x:t xml:space="preserve">2.5.    IGUALDAD EN LA NORMATIVA</x:t>
        </x:is>
      </x:c>
      <x:c r="C50" s="2" t="inlineStr">
        <x:is>
          <x:t xml:space="preserve">2.5.1.La aprobación de acuerdos e instrucciones para evaluaciones previas sobre impacto de género en la institución.</x:t>
        </x:is>
      </x:c>
      <x:c r="D50" s="5" t="inlineStr">
        <x:is>
          <x:t xml:space="preserve">NO</x:t>
        </x:is>
      </x:c>
      <x:c r="E50" s="4" t="n">
        <x:f>IF(D50="SI",1,IF(D50="NO",0,IF(D50="PARCIAL",0.5,"")))</x:f>
        <x:v>0</x:v>
      </x:c>
      <x:c r="F50" s="2" t="inlineStr">
        <x:is>
          <x:t xml:space="preserve">Sesiones de trabajo con Jone Gurrea, tecnica de igualdad (3 y 17/07/2026); Entrevista Itxaso Elexpuru, Langileria (22/07/2026)</x:t>
        </x:is>
      </x:c>
      <x:c r="G50" s="2" t="inlineStr">
        <x:is>
          <x:t xml:space="preserve">No constan acuerdos ni instrucciones municipales sobre evaluacion previa de impacto de genero.</x:t>
        </x:is>
      </x:c>
    </x:row>
    <x:row r="51" ht="36" customHeight="1">
      <x:c r="A51" s="2" t="inlineStr">
        <x:is>
          <x:t xml:space="preserve">2. PROCESOS DE TRABAJO</x:t>
        </x:is>
      </x:c>
      <x:c r="B51" s="2" t="inlineStr">
        <x:is>
          <x:t xml:space="preserve">2.5.    IGUALDAD EN LA NORMATIVA</x:t>
        </x:is>
      </x:c>
      <x:c r="C51" s="2" t="inlineStr">
        <x:is>
          <x:t xml:space="preserve">2.5.2.Realización de evaluaciones sobre el impacto de género de la normativa, de forma sistemática.</x:t>
        </x:is>
      </x:c>
      <x:c r="D51" s="5" t="inlineStr">
        <x:is>
          <x:t xml:space="preserve">NO</x:t>
        </x:is>
      </x:c>
      <x:c r="E51" s="4" t="n">
        <x:f>IF(D51="SI",1,IF(D51="NO",0,IF(D51="PARCIAL",0.5,"")))</x:f>
        <x:v>0</x:v>
      </x:c>
      <x:c r="F51" s="2" t="inlineStr">
        <x:is>
          <x:t xml:space="preserve">Entrevista Mirari Elosegi, Medio Ambiente (24/07/2026); Entrevista Itxaso Elexpuru, Langileria (22/07/2026)</x:t>
        </x:is>
      </x:c>
      <x:c r="G51" s="2" t="inlineStr">
        <x:is>
          <x:t xml:space="preserve">Fuentes contradictorias: Langileria afirma que no se elaboran informes de impacto de genero en ordenanzas y reglamentos, mientras Medio Ambiente confirma que una ordenanza reciente si conto con informe, si bien no se ha encontrado. En todo caso no es sistematico. </x:t>
        </x:is>
      </x:c>
    </x:row>
    <x:row r="52" ht="24" customHeight="1">
      <x:c r="A52" s="2" t="inlineStr">
        <x:is>
          <x:t xml:space="preserve">2. PROCESOS DE TRABAJO</x:t>
        </x:is>
      </x:c>
      <x:c r="B52" s="2" t="inlineStr">
        <x:is>
          <x:t xml:space="preserve">2.5.    IGUALDAD EN LA NORMATIVA</x:t>
        </x:is>
      </x:c>
      <x:c r="C52" s="2" t="inlineStr">
        <x:is>
          <x:t xml:space="preserve">2.5.3.La existencia de un sistema de seguimiento</x:t>
        </x:is>
      </x:c>
      <x:c r="D52" s="5" t="inlineStr">
        <x:is>
          <x:t xml:space="preserve">NO</x:t>
        </x:is>
      </x:c>
      <x:c r="E52" s="4" t="n">
        <x:f>IF(D52="SI",1,IF(D52="NO",0,IF(D52="PARCIAL",0.5,"")))</x:f>
        <x:v>0</x:v>
      </x:c>
      <x:c r="F52" s="2" t="inlineStr">
        <x:is>
          <x:t xml:space="preserve">Sesiones de trabajo con Jone Gurrea, tecnica de igualdad (3 y 17/07/2026)</x:t>
        </x:is>
      </x:c>
      <x:c r="G52" s="2" t="inlineStr">
        <x:is>
          <x:t xml:space="preserve">No existe sistema de seguimiento de las evaluaciones previas de impacto de genero.</x:t>
        </x:is>
      </x:c>
    </x:row>
    <x:row r="53" ht="132" customHeight="1">
      <x:c r="A53" s="2" t="inlineStr">
        <x:is>
          <x:t xml:space="preserve">2. PROCESOS DE TRABAJO</x:t>
        </x:is>
      </x:c>
      <x:c r="B53" s="2" t="inlineStr">
        <x:is>
          <x:t xml:space="preserve">2.6.    CLAUSULAS DE IGUALDAD EN SUBVENCIONES Y CONTRATOS PÚBLICOS</x:t>
        </x:is>
      </x:c>
      <x:c r="C53" s="2" t="inlineStr">
        <x:is>
          <x:t xml:space="preserve">2.6.1.a inclusión de cláusulas sobre igualdad en los contratos, en las especificaciones técnicas, criterios de valoración y condiciones administrativas.</x:t>
        </x:is>
      </x:c>
      <x:c r="D53" s="3" t="inlineStr">
        <x:is>
          <x:t xml:space="preserve">PARCIAL</x:t>
        </x:is>
      </x:c>
      <x:c r="E53" s="4" t="n">
        <x:f>IF(D53="SI",1,IF(D53="NO",0,IF(D53="PARCIAL",0.5,"")))</x:f>
        <x:v>0.5</x:v>
      </x:c>
      <x:c r="F53" s="2" t="str">
        <x:v>Muestra de cinco pliegos de clausulas administrativas particulares descargados del perfil de contratante y de la web municipal: paneles expositores de cultura (02/02/2022), asfaltado municipal (05/09/2024), arrendamiento de impresoras (25/10/2024), transporte publico urbano (21/01/2025) y concesion del bar-cafeteria de San Juan Ibarra (22/01/2026). Contraste con el articulo 22 del Decreto Legislativo 1/2023. Carátulas oficiales de los cinco expedientes, descargadas de la Plataforma de Contratación Pública de Euskadi el 29/09/2026 (documentos 39A–43A).</x:v>
      </x:c>
      <x:c r="G53" s="2" t="str">
        <x:v>MUESTRA: cinco pliegos de clausulas administrativas particulares de distinto tipo contractual y repartidos a lo largo del periodo, de febrero de 2022 a enero de 2026. RESULTADO: SE CUMPLE PARCIALMENTE. La matriz documental recoge nueve comprobaciones por contrato: dos con resultado SI y siete con resultado NO. Las cinco carátulas se han obtenido y revisado el 29/09/2026. LO QUE SI HAY: los cinco pliegos incorporan, con redaccion practicamente identica, una condicion especial de ejecucion titulada Condiciones de igualdad de la mujer y el hombre, que obliga a la empresa contratista a que en la documentacion, publicidad, imagen o materiales se realice un uso no sexista del lenguaje, se evite cualquier imagen discriminatoria de las mujeres o estereotipos sexistas y se fomente una imagen con valores de igualdad, presencia equilibrada, diversidad, corresponsabilidad y pluralidad de roles e identidades de genero; a cumplir la Ley 4/2005 y la Ley Organica 3/2007, sustituida la primera por el Decreto Legislativo 1/2023 en el pliego de 2026; a justificar, si tiene mas de 250 personas trabajadoras, que dispone de un plan de igualdad; a garantizar la igualdad en el trato, acceso al empleo, clasificacion profesional, promocion, permanencia, formacion, extincion, retribuciones, calidad y estabilidad laboral y ordenacion de la jornada; y, si necesita nueva contratacion y su plantilla esta desequilibrada, a dar preferencia a la contratacion de mujeres, entendiendo por plantilla desequilibrada la que cuente con una presencia de mujeres inferior al 50 por ciento. Este contenido satisface el articulo 22.5.b, porque va mas alla del uso no sexista del lenguaje y las imagenes. LO QUE NO HAY: ninguno de los cinco pliegos menciona la igualdad al regular la prohibicion de contratar, que se remite en bloque al articulo 71 de la LCSP sin referencia al incumplimiento de la obligacion de plan de igualdad ni a las sanciones firmes por infraccion muy grave en la materia (articulo 22.3); ninguno exige experiencia, conocimientos o formacion en igualdad como solvencia tecnica o profesional (articulo 22.4); ninguno impone a la contratista acreditar el cumplimiento sin requerimiento previo ni atribuye a la unidad de seguimiento la verificacion de esa documentacion (articulo 22.7.a y 22.7.c). CRITERIOS DE ADJUDICACIÓN COMPROBADOS: las cinco carátulas contienen el baremo completo y ninguna incluye un criterio específico de igualdad ni le asigna puntuación. Paneles: cláusula 32, pp. 9–10; asfaltado: cláusula 31, pp. 9–11; impresoras: cláusula 31, pp. 10–11; transporte: cláusula 30, pp. 12–16; bar: cláusula 29, pp. 9–11. Ambas comprobaciones antes pendientes pasan a NO. La comparación con el umbral del 5 % en el contrato de febrero de 2022 es descriptiva, pues precede a la reforma de marzo de 2022. ALCANCE: la semejanza de las cláusulas acredita una formulación reiterada; no demuestra por sí sola la inexistencia de revisiones del modelo ni un incumplimiento completo de la normativa. Las remisiones generales, la fecha y el objeto de cada contrato delimitan el contraste.</x:v>
      </x:c>
    </x:row>
    <x:row r="54" ht="24" customHeight="1">
      <x:c r="A54" s="2" t="inlineStr">
        <x:is>
          <x:t xml:space="preserve">2. PROCESOS DE TRABAJO</x:t>
        </x:is>
      </x:c>
      <x:c r="B54" s="2" t="inlineStr">
        <x:is>
          <x:t xml:space="preserve">2.6.    CLAUSULAS DE IGUALDAD EN SUBVENCIONES Y CONTRATOS PÚBLICOS</x:t>
        </x:is>
      </x:c>
      <x:c r="C54" s="2" t="inlineStr">
        <x:is>
          <x:t xml:space="preserve">2.6.2.Aprobación de instrucciones y acuerdos para incorporar la igualdad en la contratación pública.</x:t>
        </x:is>
      </x:c>
      <x:c r="D54" s="5" t="inlineStr">
        <x:is>
          <x:t xml:space="preserve">NO</x:t>
        </x:is>
      </x:c>
      <x:c r="E54" s="4" t="n">
        <x:f>IF(D54="SI",1,IF(D54="NO",0,IF(D54="PARCIAL",0.5,"")))</x:f>
        <x:v>0</x:v>
      </x:c>
      <x:c r="F54" s="2" t="inlineStr">
        <x:is>
          <x:t xml:space="preserve">Ordenanza General de Subvenciones (BOB num. 242, de 19/12/2012); Muestra de cinco pliegos de clausulas administrativas particulares descargados del perfil de contratante y de la web municipal: paneles expositores de cultura (02/02/2022), asfaltado municipal (05/09/2024), arrendamiento de impresoras (25/10/2024), transporte publico urbano (21/01/2025) y concesion del bar-cafeteria de San Juan Ibarra (22/01/2026). Contraste con el articulo 22 del Decreto Legislativo 1/2023.</x:t>
        </x:is>
      </x:c>
      <x:c r="G54" s="2" t="str">
        <x:v>NO REALIZADO. No se ha localizado un acuerdo, instrucción o directriz municipal que ordene la incorporación sistemática de cláusulas de igualdad en la contratación. La semejanza entre los cinco pliegos acredita una formulación reiterada, pero no permite concluir por sí sola si existe un modelo formalmente aprobado ni reconstruir todas sus revisiones. Las carátulas examinadas no atribuyen puntuación específica a igualdad. Se mantiene la valoración por falta de acreditación del instrumento al que se refiere el indicador.</x:v>
      </x:c>
    </x:row>
    <x:row r="55" ht="96" customHeight="1">
      <x:c r="A55" s="2" t="inlineStr">
        <x:is>
          <x:t xml:space="preserve">2. PROCESOS DE TRABAJO</x:t>
        </x:is>
      </x:c>
      <x:c r="B55" s="2" t="inlineStr">
        <x:is>
          <x:t xml:space="preserve">2.6.    CLAUSULAS DE IGUALDAD EN SUBVENCIONES Y CONTRATOS PÚBLICOS</x:t>
        </x:is>
      </x:c>
      <x:c r="C55" s="2" t="inlineStr">
        <x:is>
          <x:t xml:space="preserve">2.6.3.La existencia de un sistema de seguimiento del cumplimiento de las cláusulas de igualdad en la contratación pública.</x:t>
        </x:is>
      </x:c>
      <x:c r="D55" s="5" t="inlineStr">
        <x:is>
          <x:t xml:space="preserve">NO</x:t>
        </x:is>
      </x:c>
      <x:c r="E55" s="4" t="n">
        <x:f>IF(D55="SI",1,IF(D55="NO",0,IF(D55="PARCIAL",0.5,"")))</x:f>
        <x:v>0</x:v>
      </x:c>
      <x:c r="F55" s="2" t="inlineStr">
        <x:is>
          <x:t xml:space="preserve">Muestra de cinco pliegos de clausulas administrativas particulares descargados del perfil de contratante y de la web municipal: paneles expositores de cultura (02/02/2022), asfaltado municipal (05/09/2024), arrendamiento de impresoras (25/10/2024), transporte publico urbano (21/01/2025) y concesion del bar-cafeteria de San Juan Ibarra (22/01/2026). Contraste con el articulo 22 del Decreto Legislativo 1/2023.</x:t>
        </x:is>
      </x:c>
      <x:c r="G55" s="2" t="str">
        <x:v>NO REALIZADO. No se ha acreditado un sistema efectivo de seguimiento específico de las cláusulas de igualdad. La documentación examinada no concreta la aportación y revisión sistemática de documentación de igualdad sin requerimiento previo. La entrevista de Medio Ambiente de 24/07/2026 señala que el control posterior no siempre se realiza. Esto no equivale a ausencia de cualquier control contractual: existen condiciones de ejecución y un régimen general de penalidades, que se analizan por separado.</x:v>
      </x:c>
    </x:row>
    <x:row r="56" ht="108" customHeight="1">
      <x:c r="A56" s="2" t="inlineStr">
        <x:is>
          <x:t xml:space="preserve">2. PROCESOS DE TRABAJO</x:t>
        </x:is>
      </x:c>
      <x:c r="B56" s="2" t="inlineStr">
        <x:is>
          <x:t xml:space="preserve">2.6.    CLAUSULAS DE IGUALDAD EN SUBVENCIONES Y CONTRATOS PÚBLICOS</x:t>
        </x:is>
      </x:c>
      <x:c r="C56" s="2" t="inlineStr">
        <x:is>
          <x:t xml:space="preserve">2.6.4.La existencia de un mecanismo sancionador para los casos en los que no se cumplan los criterios establecidos en las cláusulas de igualdad en la contratación pública.</x:t>
        </x:is>
      </x:c>
      <x:c r="D56" s="5" t="inlineStr">
        <x:is>
          <x:t xml:space="preserve">NO</x:t>
        </x:is>
      </x:c>
      <x:c r="E56" s="4" t="n">
        <x:f>IF(D56="SI",1,IF(D56="NO",0,IF(D56="PARCIAL",0.5,"")))</x:f>
        <x:v>0</x:v>
      </x:c>
      <x:c r="F56" s="2" t="inlineStr">
        <x:is>
          <x:t xml:space="preserve">Muestra de cinco pliegos de clausulas administrativas particulares descargados del perfil de contratante y de la web municipal: paneles expositores de cultura (02/02/2022), asfaltado municipal (05/09/2024), arrendamiento de impresoras (25/10/2024), transporte publico urbano (21/01/2025) y concesion del bar-cafeteria de San Juan Ibarra (22/01/2026). Contraste con el articulo 22 del Decreto Legislativo 1/2023.</x:t>
        </x:is>
      </x:c>
      <x:c r="G56" s="2" t="str">
        <x:v>NO REALIZADO. Los pliegos contienen un régimen general de penalidades aplicable a las condiciones especiales de ejecución. No cabe afirmar que los incumplimientos carezcan de consecuencias. No se ha acreditado su concreción y aplicación a incumplimientos de las cláusulas de igualdad, por lo que se conserva la valoración del indicador. La ausencia de una graduación separada no se presenta, por sí sola, como prueba de incumplimiento legal.</x:v>
      </x:c>
    </x:row>
    <x:row r="57" ht="132" customHeight="1">
      <x:c r="A57" s="2" t="inlineStr">
        <x:is>
          <x:t xml:space="preserve">2. PROCESOS DE TRABAJO</x:t>
        </x:is>
      </x:c>
      <x:c r="B57" s="2" t="inlineStr">
        <x:is>
          <x:t xml:space="preserve">2.6.    CLAUSULAS DE IGUALDAD EN SUBVENCIONES Y CONTRATOS PÚBLICOS</x:t>
        </x:is>
      </x:c>
      <x:c r="C57" s="2" t="inlineStr">
        <x:is>
          <x:t xml:space="preserve">2.6.5.Inserción de cláusulas sobre igualdad en las subvenciones (nominativas, directas y de concurrencia competitiva).</x:t>
        </x:is>
      </x:c>
      <x:c r="D57" s="3" t="inlineStr">
        <x:is>
          <x:t xml:space="preserve">PARCIAL</x:t>
        </x:is>
      </x:c>
      <x:c r="E57" s="4" t="n">
        <x:f>IF(D57="SI",1,IF(D57="NO",0,IF(D57="PARCIAL",0.5,"")))</x:f>
        <x:v>0.5</x:v>
      </x:c>
      <x:c r="F57" s="2" t="str">
        <x:v>Documentos 44–48; BDNS 733561, 733589, 592663 y 766851; Ordenanza General de Subvenciones, BOB 242 de 19/12/2012, arts. 1, 7.a, 9, 44 y 51–59 (documento SUB-ORD). Revisión documental 29/09/2026. https://www.bizkaia.eus/lehendakaritza/Bao_bob/2012/12/20121219a242.pdf</x:v>
      </x:c>
      <x:c r="G57" s="2" t="str">
        <x:v>PARCIAL. La muestra comprende Euskera 2021–2022, Deportes 2022, Cooperación y Cohesión Social del ejercicio 2023 publicadas en enero de 2024, y Cultura 2024. Cooperación y Cohesión Social incorporan exclusiones, criterios y obligaciones de igualdad, con 2 puntos sobre 100 y datos por sexo/género y edad en la memoria. Cultura incluye igualdad en un criterio compuesto de 25 puntos compartido con euskera y ODS, sin mínimo propio identificable. La Ordenanza art. 7.a añade una prohibición general de discriminación por sexo en entidades y asociaciones. Las obligaciones de control y el régimen general de reintegro y sanción deben considerarse. No queda acreditada una incorporación completa y homogénea de cláusulas. La matriz detalla presencia documental y límites de aplicabilidad; no constituye un porcentaje de cumplimiento legal. Las diferencias entre convocatorias no permiten atribuir por sí solas una causa a la gestión de cada área.</x:v>
      </x:c>
    </x:row>
    <x:row r="58" ht="96" customHeight="1">
      <x:c r="A58" s="2" t="inlineStr">
        <x:is>
          <x:t xml:space="preserve">2. PROCESOS DE TRABAJO</x:t>
        </x:is>
      </x:c>
      <x:c r="B58" s="2" t="inlineStr">
        <x:is>
          <x:t xml:space="preserve">2.6.    CLAUSULAS DE IGUALDAD EN SUBVENCIONES Y CONTRATOS PÚBLICOS</x:t>
        </x:is>
      </x:c>
      <x:c r="C58" s="2" t="inlineStr">
        <x:is>
          <x:t xml:space="preserve">2.6.6.Aprobación de instrucciones y acuerdos sobre la inserción de cláusulas de igualdad en las subvenciones públicas.</x:t>
        </x:is>
      </x:c>
      <x:c r="D58" s="5" t="inlineStr">
        <x:is>
          <x:t xml:space="preserve">NO</x:t>
        </x:is>
      </x:c>
      <x:c r="E58" s="4" t="n">
        <x:f>IF(D58="SI",1,IF(D58="NO",0,IF(D58="PARCIAL",0.5,"")))</x:f>
        <x:v>0</x:v>
      </x:c>
      <x:c r="F58" s="2" t="str">
        <x:v>Documentos 44–48; BDNS 733561, 733589, 592663 y 766851; Ordenanza General de Subvenciones, BOB 242 de 19/12/2012, arts. 1, 7.a, 9, 44 y 51–59 (documento SUB-ORD). Revisión documental 29/09/2026. https://www.bizkaia.eus/lehendakaritza/Bao_bob/2012/12/20121219a242.pdf</x:v>
      </x:c>
      <x:c r="G58" s="2" t="str">
        <x:v>NO REALIZADO. La Ordenanza General sí contiene una cláusula contra la discriminación por sexo en estatutos y funcionamiento de entidades y asociaciones (art. 7.a, p. 15 del PDF). Su ámbito incluye Ayuntamiento y organismos autónomos (art. 1). No se ha localizado una instrucción o acuerdo específico que disponga la incorporación sistemática del conjunto de cláusulas de igualdad en las subvenciones. Se mantiene NO para ese objeto concreto del indicador, sin afirmar ausencia total de cláusulas en la norma general.</x:v>
      </x:c>
    </x:row>
    <x:row r="59" ht="60" customHeight="1">
      <x:c r="A59" s="2" t="inlineStr">
        <x:is>
          <x:t xml:space="preserve">2. PROCESOS DE TRABAJO</x:t>
        </x:is>
      </x:c>
      <x:c r="B59" s="2" t="inlineStr">
        <x:is>
          <x:t xml:space="preserve">2.6.    CLAUSULAS DE IGUALDAD EN SUBVENCIONES Y CONTRATOS PÚBLICOS</x:t>
        </x:is>
      </x:c>
      <x:c r="C59" s="2" t="inlineStr">
        <x:is>
          <x:t xml:space="preserve">2.6.7.La existencia de un sistema de seguimiento del cumplimiento de las cláusulas de igualdad en las subvenciones públicas.</x:t>
        </x:is>
      </x:c>
      <x:c r="D59" s="5" t="inlineStr">
        <x:is>
          <x:t xml:space="preserve">NO</x:t>
        </x:is>
      </x:c>
      <x:c r="E59" s="4" t="n">
        <x:f>IF(D59="SI",1,IF(D59="NO",0,IF(D59="PARCIAL",0.5,"")))</x:f>
        <x:v>0</x:v>
      </x:c>
      <x:c r="F59" s="2" t="str">
        <x:v>Documentos 44–48; BDNS 733561, 733589, 592663 y 766851; Ordenanza General de Subvenciones, BOB 242 de 19/12/2012, arts. 1, 7.a, 9, 44 y 51–59 (documento SUB-ORD). Revisión documental 29/09/2026. https://www.bizkaia.eus/lehendakaritza/Bao_bob/2012/12/20121219a242.pdf</x:v>
      </x:c>
      <x:c r="G59" s="2" t="str">
        <x:v>NO REALIZADO. Existen obligaciones de justificación y comprobación (Ordenanza art. 9 y arts. 51–52) y Cohesión Social atribuye seguimiento al Área de Acción Social (art. 12.d, p. 13). Cooperación y Cohesión Social exigen información de igualdad en sus memorias. Estas previsiones son evidencia documental parcial, pero no acreditan la existencia y funcionamiento de un sistema de seguimiento específico de las cláusulas de igualdad. Se mantiene NO por falta de acreditación de ese sistema, no por ausencia de cualquier control o unidad responsable.</x:v>
      </x:c>
    </x:row>
    <x:row r="60" ht="48" customHeight="1">
      <x:c r="A60" s="2" t="inlineStr">
        <x:is>
          <x:t xml:space="preserve">2. PROCESOS DE TRABAJO</x:t>
        </x:is>
      </x:c>
      <x:c r="B60" s="2" t="inlineStr">
        <x:is>
          <x:t xml:space="preserve">2.6.    CLAUSULAS DE IGUALDAD EN SUBVENCIONES Y CONTRATOS PÚBLICOS</x:t>
        </x:is>
      </x:c>
      <x:c r="C60" s="2" t="inlineStr">
        <x:is>
          <x:t xml:space="preserve">2.6.8.La existencia de un mecanismo sancionador para los casos en los que no se cumplan los criterios establecidos en las cláusulas de igualdad en las subvenciones públicas.</x:t>
        </x:is>
      </x:c>
      <x:c r="D60" s="5" t="inlineStr">
        <x:is>
          <x:t xml:space="preserve">NO</x:t>
        </x:is>
      </x:c>
      <x:c r="E60" s="4" t="n">
        <x:f>IF(D60="SI",1,IF(D60="NO",0,IF(D60="PARCIAL",0.5,"")))</x:f>
        <x:v>0</x:v>
      </x:c>
      <x:c r="F60" s="2" t="str">
        <x:v>Documentos 44–48; BDNS 733561, 733589, 592663 y 766851; Ordenanza General de Subvenciones, BOB 242 de 19/12/2012, arts. 1, 7.a, 9, 44 y 51–59 (documento SUB-ORD). Revisión documental 29/09/2026. https://www.bizkaia.eus/lehendakaritza/Bao_bob/2012/12/20121219a242.pdf</x:v>
      </x:c>
      <x:c r="G60" s="2" t="str">
        <x:v>NO REALIZADO. La Ordenanza prevé reintegro por incumplir obligaciones (art. 44.f–g) y un régimen de infracciones y sanciones (arts. 54–59). Cooperación contempla reintegro por incumplir requisitos de la convocatoria (art. 16). Por tanto, no se limita el régimen a cuestiones económicas ni se afirma ausencia de sanciones generales. No se ha acreditado un mecanismo que concrete la respuesta sancionadora a los incumplimientos de las cláusulas de igualdad examinadas. Se mantiene NO para ese objeto específico. El reintegro y la sanción son figuras distintas.</x:v>
      </x:c>
    </x:row>
    <x:row r="61" ht="132" customHeight="1">
      <x:c r="A61" s="2" t="inlineStr">
        <x:is>
          <x:t xml:space="preserve">2. PROCESOS DE TRABAJO</x:t>
        </x:is>
      </x:c>
      <x:c r="B61" s="2" t="inlineStr">
        <x:is>
          <x:t xml:space="preserve">2.7.    PERSPECTIVA DE GÉNERO EN PLANES SECTORIALES Y TRANSVERSALES</x:t>
        </x:is>
      </x:c>
      <x:c r="C61" s="2" t="inlineStr">
        <x:is>
          <x:t xml:space="preserve">2.7.1.La existencia de planes estratégicos y transversales que cuenten con diagnósticos previos que analicen la desigualdad entre mujeres y hombres en el ámbito de actuación correspondiente.</x:t>
        </x:is>
      </x:c>
      <x:c r="D61" s="5" t="str">
        <x:v>NO</x:v>
      </x:c>
      <x:c r="E61" s="4" t="n">
        <x:f>AVERAGE('Revisión de planes'!F25,'Revisión de planes'!F33,'Revisión de planes'!F41,'Revisión de planes'!F49,'Revisión de planes'!F57,'Revisión de planes'!F65)</x:f>
        <x:v>0</x:v>
      </x:c>
      <x:c r="F61" s="2" t="str">
        <x:v>Revisión de planes, 28/09/2026: seis planes, documentación municipal y webs oficiales. Criterio de Helena: No consta = no realizado, 0 puntos. Véanse documentos, páginas y evaluaciones por plan en la hoja Revisión de planes.</x:v>
      </x:c>
      <x:c r="G61" s="2" t="str">
        <x:v>Media de las seis evaluaciones documentales: 0/6 = 0 %. Antifraude: El documento analiza riesgos de fraude y conflictos de interés. No se identifica un diagnóstico de desigualdades entre mujeres y hombres en el ámbito del plan. No consta el diagnóstico exigido.
Clima · PIMACC: El diagnóstico presenta una pirámide de población por sexo y edad. Constan datos demográficos desagregados. No consta un análisis de desigualdades de género en el ámbito climático.
Accesibilidad: El marco general reconoce colectivos de diferentes edades y géneros y menciona a embarazadas y personas que acompañan a menores. Constan referencias a necesidades diversas. No consta un diagnóstico municipal de desigualdades entre mujeres y hombres.
Cultura: El mapa cultural incluye un proyecto sobre la historia de las mujeres de Gernika. No se identifica un análisis de desigualdades de género. Consta visibilización de las mujeres. No consta el diagnóstico exigido.
Turismo: La página oficial acredita la existencia del plan, pero no se ha recuperado el documento completo. No consta en la información disponible.
Euskera: La página oficial acredita la existencia y aprobación del plan. La antigua dirección del PDF aprobado no permite recuperar el texto completo. No consta en la información disponible.</x:v>
      </x:c>
    </x:row>
    <x:row r="62" ht="48" customHeight="1">
      <x:c r="A62" s="2" t="inlineStr">
        <x:is>
          <x:t xml:space="preserve">2. PROCESOS DE TRABAJO</x:t>
        </x:is>
      </x:c>
      <x:c r="B62" s="2" t="inlineStr">
        <x:is>
          <x:t xml:space="preserve">2.7.    PERSPECTIVA DE GÉNERO EN PLANES SECTORIALES Y TRANSVERSALES</x:t>
        </x:is>
      </x:c>
      <x:c r="C62" s="2" t="inlineStr">
        <x:is>
          <x:t xml:space="preserve">2.7.2.La inclusión de objetivos de igualdad de mujeres y hombres en planes y programas estratégicos sectoriales y transversales, siguiendo al diagnóstico realizado.</x:t>
        </x:is>
      </x:c>
      <x:c r="D62" s="5" t="str">
        <x:v>PARCIAL</x:v>
      </x:c>
      <x:c r="E62" s="4" t="n">
        <x:f>AVERAGE('Revisión de planes'!F26,'Revisión de planes'!F34,'Revisión de planes'!F42,'Revisión de planes'!F50,'Revisión de planes'!F58,'Revisión de planes'!F66)</x:f>
        <x:v>0.08333333333333333</x:v>
      </x:c>
      <x:c r="F62" s="2" t="str">
        <x:v>Revisión de planes, 28/09/2026: seis planes, documentación municipal y webs oficiales. Criterio de Helena: No consta = no realizado, 0 puntos. Véanse documentos, páginas y evaluaciones por plan en la hoja Revisión de planes.</x:v>
      </x:c>
      <x:c r="G62" s="2" t="str">
        <x:v>Media de las seis evaluaciones documentales: 0,5/6 = 8,33 %. El estado PARCIAL describe la presencia limitada; la puntuación es la media calculada, no 0,5 fijo. Antifraude: La declaración del anexo I recoge el respeto a la igualdad entre mujeres y hombres entre los principios del empleo público. Consta una referencia general a igualdad. No consta un objetivo de igualdad vinculado a un diagnóstico.
Clima · PIMACC: Los objetivos y líneas de actuación revisados se orientan a mitigación, adaptación y energía. No constan objetivos explícitos de igualdad derivados de un diagnóstico de género.
Accesibilidad: El objeto es eliminar barreras y mejorar la accesibilidad. La igualdad de oportunidades aparece en el contexto de la discapacidad. No consta un objetivo específico de igualdad de mujeres y hombres en el tomo consultado.
Cultura: La sección de Agenda 2030 menciona expresamente la igualdad de género entre los objetivos a los que puede contribuir la cultura. Parcialmente realizado, 0,5. Consta la igualdad de género como objetivo de referencia en Agenda 2030, aunque no se concreta en un objetivo municipal vinculado a un diagnóstico.
Turismo: La página oficial acredita la existencia del plan, pero no se ha recuperado el documento completo. No consta en la información disponible.
Euskera: La página oficial acredita la existencia y aprobación del plan. La antigua dirección del PDF aprobado no permite recuperar el texto completo. No consta en la información disponible.</x:v>
      </x:c>
    </x:row>
    <x:row r="63" ht="48" customHeight="1">
      <x:c r="A63" s="2" t="inlineStr">
        <x:is>
          <x:t xml:space="preserve">2. PROCESOS DE TRABAJO</x:t>
        </x:is>
      </x:c>
      <x:c r="B63" s="2" t="inlineStr">
        <x:is>
          <x:t xml:space="preserve">2.7.    PERSPECTIVA DE GÉNERO EN PLANES SECTORIALES Y TRANSVERSALES</x:t>
        </x:is>
      </x:c>
      <x:c r="C63" s="2" t="inlineStr">
        <x:is>
          <x:t xml:space="preserve">2.7.3.La inclusión de acciones de igualdad en programas y planes estratégicos transversales y sectoriales.</x:t>
        </x:is>
      </x:c>
      <x:c r="D63" s="5" t="str">
        <x:v>PARCIAL</x:v>
      </x:c>
      <x:c r="E63" s="4" t="n">
        <x:f>AVERAGE('Revisión de planes'!F27,'Revisión de planes'!F35,'Revisión de planes'!F43,'Revisión de planes'!F51,'Revisión de planes'!F59,'Revisión de planes'!F67)</x:f>
        <x:v>0.08333333333333333</x:v>
      </x:c>
      <x:c r="F63" s="2" t="str">
        <x:v>Revisión de planes, 28/09/2026: seis planes, documentación municipal y webs oficiales. Criterio de Helena: No consta = no realizado, 0 puntos. Véanse documentos, páginas y evaluaciones por plan en la hoja Revisión de planes.</x:v>
      </x:c>
      <x:c r="G63" s="2" t="str">
        <x:v>Media de las seis evaluaciones documentales: 0,5/6 = 8,33 %. El estado PARCIAL describe la presencia limitada; la puntuación es la media calculada, no 0,5 fijo. Antifraude: Las medidas examinadas se centran en prevención, detección y corrección del fraude y los conflictos de interés. No consta una acción específica de igualdad entre mujeres y hombres.
Clima · PIMACC: Se revisaron las medidas del plan y las fichas de sus anexos. No consta una acción explícita de igualdad. Una medida ambiental de beneficio general no basta para acreditarla.
Accesibilidad: Se prevé accesibilidad de los aseos de ambos sexos y se reconocen necesidades durante el embarazo y el acompañamiento. Constan criterios de accesibilidad. No consta su formulación como acciones para corregir desigualdades de género.
Cultura: El mapa cultural incluye el proyecto sobre la historia de las mujeres de Gernika. El cuadro de desarrollo incorpora talleres de cultura y clima vinculados a Agenda 2030, con mención a igualdad. Parcialmente realizado, 0,5. Constan referencias a igualdad en actuaciones, sin desarrollo suficiente para considerar integrado plenamente el requisito.
Turismo: La página oficial acredita la existencia del plan, pero no se ha recuperado el documento completo. No consta en la información disponible.
Euskera: La página oficial acredita la existencia y aprobación del plan. La antigua dirección del PDF aprobado no permite recuperar el texto completo. No consta en la información disponible.</x:v>
      </x:c>
    </x:row>
    <x:row r="64" ht="48" customHeight="1">
      <x:c r="A64" s="2" t="inlineStr">
        <x:is>
          <x:t xml:space="preserve">2. PROCESOS DE TRABAJO</x:t>
        </x:is>
      </x:c>
      <x:c r="B64" s="2" t="inlineStr">
        <x:is>
          <x:t xml:space="preserve">2.7.    PERSPECTIVA DE GÉNERO EN PLANES SECTORIALES Y TRANSVERSALES</x:t>
        </x:is>
      </x:c>
      <x:c r="C64" s="2" t="inlineStr">
        <x:is>
          <x:t xml:space="preserve">2.7.4.La inclusión de variables por sexo e indicadores de género en los sistemas de seguimiento y evaluación de planes transversales y sectoriales.</x:t>
        </x:is>
      </x:c>
      <x:c r="D64" s="5" t="str">
        <x:v>NO</x:v>
      </x:c>
      <x:c r="E64" s="4" t="n">
        <x:f>AVERAGE('Revisión de planes'!F28,'Revisión de planes'!F36,'Revisión de planes'!F44,'Revisión de planes'!F52,'Revisión de planes'!F60,'Revisión de planes'!F68)</x:f>
        <x:v>0</x:v>
      </x:c>
      <x:c r="F64" s="2" t="str">
        <x:v>Revisión de planes, 28/09/2026: seis planes, documentación municipal y webs oficiales. Criterio de Helena: No consta = no realizado, 0 puntos. Véanse documentos, páginas y evaluaciones por plan en la hoja Revisión de planes.</x:v>
      </x:c>
      <x:c r="G64" s="2" t="str">
        <x:v>Media de las seis evaluaciones documentales: 0/6 = 0 %. Antifraude: El seguimiento emplea indicadores de riesgo de fraude. El decreto asigna al Comité Antifraude la propuesta de indicadores y un informe bianual. No constan variables por sexo ni indicadores de género.
Clima · PIMACC: El seguimiento incluye emisiones, energía, ejecución de acciones y presupuesto. La evaluación de 2024 es una síntesis de una página. No constan variables por sexo ni indicadores de género en el sistema de seguimiento revisado.
Accesibilidad: El documento describe la metodología de accesibilidad. En la documentación revisada no se identifican variables por sexo ni indicadores de género para el seguimiento. No constan variables por sexo ni indicadores de género en el material disponible.
Cultura: El cuadro de desarrollo presenta porcentajes de ejecución. No identifica variables por sexo o indicadores de género. No consta el requisito en el seguimiento documentado.
Turismo: La página oficial indica que hay seguimiento cuantitativo, sin publicar las variables necesarias para comprobar la perspectiva de género. No consta en la información disponible.
Euskera: La página oficial acredita la existencia y aprobación del plan. La antigua dirección del PDF aprobado no permite recuperar el texto completo. No consta en la información disponible.</x:v>
      </x:c>
    </x:row>
    <x:row r="65" ht="36" customHeight="1">
      <x:c r="A65" s="2" t="inlineStr">
        <x:is>
          <x:t xml:space="preserve">2. PROCESOS DE TRABAJO</x:t>
        </x:is>
      </x:c>
      <x:c r="B65" s="2" t="inlineStr">
        <x:is>
          <x:t xml:space="preserve">2.7.    PERSPECTIVA DE GÉNERO EN PLANES SECTORIALES Y TRANSVERSALES</x:t>
        </x:is>
      </x:c>
      <x:c r="C65" s="2" t="inlineStr">
        <x:is>
          <x:t xml:space="preserve">2.7.5.La participación de especialistas y unidades administrativas de igualdad en el diseño de planes transversales y sectoriales.</x:t>
        </x:is>
      </x:c>
      <x:c r="D65" s="3" t="str">
        <x:v>NO</x:v>
      </x:c>
      <x:c r="E65" s="4" t="n">
        <x:f>AVERAGE('Revisión de planes'!F29,'Revisión de planes'!F37,'Revisión de planes'!F45,'Revisión de planes'!F53,'Revisión de planes'!F61,'Revisión de planes'!F69)</x:f>
        <x:v>0</x:v>
      </x:c>
      <x:c r="F65" s="2" t="str">
        <x:v>Revisión de planes, 28/09/2026: seis planes, documentación municipal y webs oficiales. Criterio de Helena: No consta = no realizado, 0 puntos. Véanse documentos, páginas y evaluaciones por plan en la hoja Revisión de planes.</x:v>
      </x:c>
      <x:c r="G65" s="2" t="str">
        <x:v>Media de las seis evaluaciones documentales: 0/6 = 0 %. Antifraude: La adhesión municipal y la constitución del comité están documentadas. No se identifica una intervención de especialistas o de la unidad de igualdad en el diagnóstico o diseño. No consta esa participación.
Clima · PIMACC: Los documentos no identifican a la técnica o unidad de igualdad en la elaboración del diagnóstico o el diseño del conjunto del PIMACC. No consta. La información de entrevista sobre intervenciones en proyectos concretos no se extiende al plan completo.
Accesibilidad: Se identifica un equipo redactor especializado en geografía, ingeniería y arquitectura. No se identifica participación de la unidad o especialistas en igualdad. No consta participación de Igualdad en diagnóstico o diseño.
Cultura: El anexo VI menciona colaboración de la concejalía de Igualdad y Participación en Gernika Silver Living Lab. El inventario cultural incluye asociaciones de mujeres, AIURI y EMAKIDE. Su inclusión no acredita participación en el diseño del plan. Consta colaboración en ese proyecto. No consta intervención de la técnica, unidad o especialistas en igualdad en el diagnóstico o diseño del plan.
Turismo: La página oficial acredita la existencia del plan, pero no se ha recuperado el documento completo. No consta en la información disponible.
Euskera: La página oficial acredita la existencia y aprobación del plan. La antigua dirección del PDF aprobado no permite recuperar el texto completo. No consta en la información disponible.</x:v>
      </x:c>
    </x:row>
    <x:row r="66" ht="24" customHeight="1">
      <x:c r="A66" s="2" t="inlineStr">
        <x:is>
          <x:t xml:space="preserve">2. PROCESOS DE TRABAJO</x:t>
        </x:is>
      </x:c>
      <x:c r="B66" s="2" t="inlineStr">
        <x:is>
          <x:t xml:space="preserve">2.7.    PERSPECTIVA DE GÉNERO EN PLANES SECTORIALES Y TRANSVERSALES</x:t>
        </x:is>
      </x:c>
      <x:c r="C66" s="2" t="inlineStr">
        <x:is>
          <x:t xml:space="preserve">2.7.6.La participación de especialistas y unidades administrativas de igualdad en el seguimiento y evaluación de planes transversales y sectoriales.</x:t>
        </x:is>
      </x:c>
      <x:c r="D66" s="5" t="str">
        <x:v>NO</x:v>
      </x:c>
      <x:c r="E66" s="4" t="n">
        <x:f>AVERAGE('Revisión de planes'!F30,'Revisión de planes'!F38,'Revisión de planes'!F46,'Revisión de planes'!F54,'Revisión de planes'!F62,'Revisión de planes'!F70)</x:f>
        <x:v>0</x:v>
      </x:c>
      <x:c r="F66" s="2" t="str">
        <x:v>Revisión de planes, 28/09/2026: seis planes, documentación municipal y webs oficiales. Criterio de Helena: No consta = no realizado, 0 puntos. Véanse documentos, páginas y evaluaciones por plan en la hoja Revisión de planes.</x:v>
      </x:c>
      <x:c r="G66" s="2" t="str">
        <x:v>Media de las seis evaluaciones documentales: 0/6 = 0 %. Antifraude: El seguimiento se asigna al Comité Antifraude. No se identifica una función de seguimiento o evaluación atribuida a especialistas o a la unidad de igualdad. No consta esa participación.
Clima · PIMACC: El anexo I prevé coordinación y seguimiento municipal, sin identificar especialistas o unidad de igualdad en esas funciones. No consta la participación de Igualdad en seguimiento y evaluación.
Accesibilidad: El tomo general contempla seguimiento, pero no documenta la participación de Igualdad en él. No consta esa participación.
Cultura: El plan describe órganos culturales y seguimiento de proyectos. No identifica especialistas o unidad de igualdad en la evaluación del plan. No consta esa participación.
Turismo: La página oficial acredita la existencia del plan, pero no se ha recuperado el documento completo. No consta en la información disponible.
Euskera: La página oficial acredita la existencia y aprobación del plan. La antigua dirección del PDF aprobado no permite recuperar el texto completo. No consta en la información disponible.</x:v>
      </x:c>
    </x:row>
  </x:sheetData>
  <x:dataValidations count="1">
    <x:dataValidation type="list" allowBlank="1" showDropDown="0" showInputMessage="0" showErrorMessage="0" sqref="D2:D66">
      <x:formula1>"SI,NO,PARCIAL,PENDIENTE"</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10" defaultColWidth="8.7265625" defaultRowHeight="14.5"/>
  <x:cols>
    <x:col min="1" max="1" width="52" customWidth="1"/>
    <x:col min="2" max="2" width="16" customWidth="1"/>
    <x:col min="3" max="3" width="12" customWidth="1"/>
    <x:col min="4" max="4" width="13" customWidth="1"/>
    <x:col min="5" max="5" width="24" customWidth="1"/>
  </x:cols>
  <x:sheetData>
    <x:row r="1">
      <x:c r="A1" s="1" t="inlineStr">
        <x:is>
          <x:t xml:space="preserve">AMBITO</x:t>
        </x:is>
      </x:c>
      <x:c r="B1" s="1" t="inlineStr">
        <x:is>
          <x:t xml:space="preserve">Nº INDICADORES</x:t>
        </x:is>
      </x:c>
      <x:c r="C1" s="1" t="inlineStr">
        <x:is>
          <x:t xml:space="preserve">VALORADOS</x:t>
        </x:is>
      </x:c>
      <x:c r="D1" s="1" t="inlineStr">
        <x:is>
          <x:t xml:space="preserve">PENDIENTES</x:t>
        </x:is>
      </x:c>
      <x:c r="E1" s="1" t="inlineStr">
        <x:is>
          <x:t xml:space="preserve">GRADO DE CUMPLIMIENTO</x:t>
        </x:is>
      </x:c>
    </x:row>
    <x:row r="2">
      <x:c r="A2" s="8" t="inlineStr">
        <x:is>
          <x:t xml:space="preserve">1.1.UNIDADES ADMINISTRATIVAS ESPECÍFICAS PARA LA IGUALDAD DE MUJERES Y HOMBRES</x:t>
        </x:is>
      </x:c>
      <x:c r="B2" s="8" t="n">
        <x:f>COUNTIF(INDICADORES!$B$2:$B$66,$A2)</x:f>
        <x:v>6</x:v>
      </x:c>
      <x:c r="C2" s="8" t="n">
        <x:f>COUNTIFS(INDICADORES!$B$2:$B$66,$A2,INDICADORES!$D$2:$D$66,"SI")+COUNTIFS(INDICADORES!$B$2:$B$66,$A2,INDICADORES!$D$2:$D$66,"PARCIAL")+COUNTIFS(INDICADORES!$B$2:$B$66,$A2,INDICADORES!$D$2:$D$66,"NO")</x:f>
        <x:v>6</x:v>
      </x:c>
      <x:c r="D2" s="8" t="n">
        <x:f>B2-C2</x:f>
        <x:v>0</x:v>
      </x:c>
      <x:c r="E2" s="88" t="n">
        <x:f>AVERAGEIF(INDICADORES!$B$2:$B$66,$A2,INDICADORES!$E$2:$E$66)</x:f>
        <x:v>0.5</x:v>
      </x:c>
    </x:row>
    <x:row r="3">
      <x:c r="A3" s="8" t="inlineStr">
        <x:is>
          <x:t xml:space="preserve">1.2 PLANIFICACIÓN PARA LA IGUALDAD DE MUJERES Y HOMBRES</x:t>
        </x:is>
      </x:c>
      <x:c r="B3" s="8" t="n">
        <x:f>COUNTIF(INDICADORES!$B$2:$B$66,$A3)</x:f>
        <x:v>10</x:v>
      </x:c>
      <x:c r="C3" s="8" t="n">
        <x:f>COUNTIFS(INDICADORES!$B$2:$B$66,$A3,INDICADORES!$D$2:$D$66,"SI")+COUNTIFS(INDICADORES!$B$2:$B$66,$A3,INDICADORES!$D$2:$D$66,"PARCIAL")+COUNTIFS(INDICADORES!$B$2:$B$66,$A3,INDICADORES!$D$2:$D$66,"NO")</x:f>
        <x:v>10</x:v>
      </x:c>
      <x:c r="D3" s="8" t="n">
        <x:f>B3-C3</x:f>
        <x:v>0</x:v>
      </x:c>
      <x:c r="E3" s="88" t="n">
        <x:f>AVERAGEIF(INDICADORES!$B$2:$B$66,$A3,INDICADORES!$E$2:$E$66)</x:f>
        <x:v>0.8</x:v>
      </x:c>
    </x:row>
    <x:row r="4">
      <x:c r="A4" s="8" t="inlineStr">
        <x:is>
          <x:t xml:space="preserve">1.3 NORMATIVA ESPECÍFICA PARA LA IGUALDAD</x:t>
        </x:is>
      </x:c>
      <x:c r="B4" s="8" t="n">
        <x:f>COUNTIF(INDICADORES!$B$2:$B$66,$A4)</x:f>
        <x:v>1</x:v>
      </x:c>
      <x:c r="C4" s="8" t="n">
        <x:f>COUNTIFS(INDICADORES!$B$2:$B$66,$A4,INDICADORES!$D$2:$D$66,"SI")+COUNTIFS(INDICADORES!$B$2:$B$66,$A4,INDICADORES!$D$2:$D$66,"PARCIAL")+COUNTIFS(INDICADORES!$B$2:$B$66,$A4,INDICADORES!$D$2:$D$66,"NO")</x:f>
        <x:v>1</x:v>
      </x:c>
      <x:c r="D4" s="8" t="n">
        <x:f>B4-C4</x:f>
        <x:v>0</x:v>
      </x:c>
      <x:c r="E4" s="88" t="n">
        <x:f>AVERAGEIF(INDICADORES!$B$2:$B$66,$A4,INDICADORES!$E$2:$E$66)</x:f>
        <x:v>0</x:v>
      </x:c>
    </x:row>
    <x:row r="5">
      <x:c r="A5" s="8" t="inlineStr">
        <x:is>
          <x:t xml:space="preserve">1.4 PLANES INTERNOS PARA LA IGUALDAD</x:t>
        </x:is>
      </x:c>
      <x:c r="B5" s="8" t="n">
        <x:f>COUNTIF(INDICADORES!$B$2:$B$66,$A5)</x:f>
        <x:v>7</x:v>
      </x:c>
      <x:c r="C5" s="8" t="n">
        <x:f>COUNTIFS(INDICADORES!$B$2:$B$66,$A5,INDICADORES!$D$2:$D$66,"SI")+COUNTIFS(INDICADORES!$B$2:$B$66,$A5,INDICADORES!$D$2:$D$66,"PARCIAL")+COUNTIFS(INDICADORES!$B$2:$B$66,$A5,INDICADORES!$D$2:$D$66,"NO")</x:f>
        <x:v>7</x:v>
      </x:c>
      <x:c r="D5" s="8" t="n">
        <x:f>B5-C5</x:f>
        <x:v>0</x:v>
      </x:c>
      <x:c r="E5" s="88" t="n">
        <x:f>AVERAGEIF(INDICADORES!$B$2:$B$66,$A5,INDICADORES!$E$2:$E$66)</x:f>
        <x:v>0.6428571428571429</x:v>
      </x:c>
    </x:row>
    <x:row r="6">
      <x:c r="A6" s="8" t="inlineStr">
        <x:is>
          <x:t xml:space="preserve">1.5 ESTRUCTURAS DE COORDINACIÓN EN MATERIA DE IGUALDAD</x:t>
        </x:is>
      </x:c>
      <x:c r="B6" s="8" t="n">
        <x:f>COUNTIF(INDICADORES!$B$2:$B$66,$A6)</x:f>
        <x:v>5</x:v>
      </x:c>
      <x:c r="C6" s="8" t="n">
        <x:f>COUNTIFS(INDICADORES!$B$2:$B$66,$A6,INDICADORES!$D$2:$D$66,"SI")+COUNTIFS(INDICADORES!$B$2:$B$66,$A6,INDICADORES!$D$2:$D$66,"PARCIAL")+COUNTIFS(INDICADORES!$B$2:$B$66,$A6,INDICADORES!$D$2:$D$66,"NO")</x:f>
        <x:v>5</x:v>
      </x:c>
      <x:c r="D6" s="8" t="n">
        <x:f>B6-C6</x:f>
        <x:v>0</x:v>
      </x:c>
      <x:c r="E6" s="88" t="n">
        <x:f>AVERAGEIF(INDICADORES!$B$2:$B$66,$A6,INDICADORES!$E$2:$E$66)</x:f>
        <x:v>0.4</x:v>
      </x:c>
    </x:row>
    <x:row r="7">
      <x:c r="A7" s="8" t="inlineStr">
        <x:is>
          <x:t xml:space="preserve">1.6 ORGANOS PARA EL DIALOGO SOCIAL</x:t>
        </x:is>
      </x:c>
      <x:c r="B7" s="8" t="n">
        <x:f>COUNTIF(INDICADORES!$B$2:$B$66,$A7)</x:f>
        <x:v>2</x:v>
      </x:c>
      <x:c r="C7" s="8" t="n">
        <x:f>COUNTIFS(INDICADORES!$B$2:$B$66,$A7,INDICADORES!$D$2:$D$66,"SI")+COUNTIFS(INDICADORES!$B$2:$B$66,$A7,INDICADORES!$D$2:$D$66,"PARCIAL")+COUNTIFS(INDICADORES!$B$2:$B$66,$A7,INDICADORES!$D$2:$D$66,"NO")</x:f>
        <x:v>2</x:v>
      </x:c>
      <x:c r="D7" s="8" t="n">
        <x:f>B7-C7</x:f>
        <x:v>0</x:v>
      </x:c>
      <x:c r="E7" s="88" t="n">
        <x:f>AVERAGEIF(INDICADORES!$B$2:$B$66,$A7,INDICADORES!$E$2:$E$66)</x:f>
        <x:v>0.25</x:v>
      </x:c>
    </x:row>
    <x:row r="8">
      <x:c r="A8" s="8" t="inlineStr">
        <x:is>
          <x:t xml:space="preserve">2.1   PRESUPUESTOS CON PERSPECTIVA DE GÉNERO</x:t>
        </x:is>
      </x:c>
      <x:c r="B8" s="8" t="n">
        <x:f>COUNTIF(INDICADORES!$B$2:$B$66,$A8)</x:f>
        <x:v>5</x:v>
      </x:c>
      <x:c r="C8" s="8" t="n">
        <x:f>COUNTIFS(INDICADORES!$B$2:$B$66,$A8,INDICADORES!$D$2:$D$66,"SI")+COUNTIFS(INDICADORES!$B$2:$B$66,$A8,INDICADORES!$D$2:$D$66,"PARCIAL")+COUNTIFS(INDICADORES!$B$2:$B$66,$A8,INDICADORES!$D$2:$D$66,"NO")</x:f>
        <x:v>5</x:v>
      </x:c>
      <x:c r="D8" s="8" t="n">
        <x:f>B8-C8</x:f>
        <x:v>0</x:v>
      </x:c>
      <x:c r="E8" s="88" t="n">
        <x:f>AVERAGEIF(INDICADORES!$B$2:$B$66,$A8,INDICADORES!$E$2:$E$66)</x:f>
        <x:v>0.2</x:v>
      </x:c>
    </x:row>
    <x:row r="9">
      <x:c r="A9" s="8" t="inlineStr">
        <x:is>
          <x:t xml:space="preserve">2.2   ESTADÍSTICAS E INVESTIGACIONES</x:t>
        </x:is>
      </x:c>
      <x:c r="B9" s="8" t="n">
        <x:f>COUNTIF(INDICADORES!$B$2:$B$66,$A9)</x:f>
        <x:v>5</x:v>
      </x:c>
      <x:c r="C9" s="8" t="n">
        <x:f>COUNTIFS(INDICADORES!$B$2:$B$66,$A9,INDICADORES!$D$2:$D$66,"SI")+COUNTIFS(INDICADORES!$B$2:$B$66,$A9,INDICADORES!$D$2:$D$66,"PARCIAL")+COUNTIFS(INDICADORES!$B$2:$B$66,$A9,INDICADORES!$D$2:$D$66,"NO")</x:f>
        <x:v>5</x:v>
      </x:c>
      <x:c r="D9" s="8" t="n">
        <x:f>B9-C9</x:f>
        <x:v>0</x:v>
      </x:c>
      <x:c r="E9" s="88" t="n">
        <x:f>AVERAGEIF(INDICADORES!$B$2:$B$66,$A9,INDICADORES!$E$2:$E$66)</x:f>
        <x:v>0.1</x:v>
      </x:c>
    </x:row>
    <x:row r="10">
      <x:c r="A10" s="8" t="inlineStr">
        <x:is>
          <x:t xml:space="preserve">2.3.    FORMACIÓN EN IGUALDAD</x:t>
        </x:is>
      </x:c>
      <x:c r="B10" s="8" t="n">
        <x:f>COUNTIF(INDICADORES!$B$2:$B$66,$A10)</x:f>
        <x:v>2</x:v>
      </x:c>
      <x:c r="C10" s="8" t="n">
        <x:f>COUNTIFS(INDICADORES!$B$2:$B$66,$A10,INDICADORES!$D$2:$D$66,"SI")+COUNTIFS(INDICADORES!$B$2:$B$66,$A10,INDICADORES!$D$2:$D$66,"PARCIAL")+COUNTIFS(INDICADORES!$B$2:$B$66,$A10,INDICADORES!$D$2:$D$66,"NO")</x:f>
        <x:v>2</x:v>
      </x:c>
      <x:c r="D10" s="8" t="n">
        <x:f>B10-C10</x:f>
        <x:v>0</x:v>
      </x:c>
      <x:c r="E10" s="88" t="n">
        <x:f>AVERAGEIF(INDICADORES!$B$2:$B$66,$A10,INDICADORES!$E$2:$E$66)</x:f>
        <x:v>0</x:v>
      </x:c>
    </x:row>
    <x:row r="11">
      <x:c r="A11" s="8" t="inlineStr">
        <x:is>
          <x:t xml:space="preserve">2.4.    ACCESO, PROVISIÓN Y PROMOCIÓN AL EMPLEO PÚBLICO</x:t>
        </x:is>
      </x:c>
      <x:c r="B11" s="8" t="n">
        <x:f>COUNTIF(INDICADORES!$B$2:$B$66,$A11)</x:f>
        <x:v>5</x:v>
      </x:c>
      <x:c r="C11" s="8" t="n">
        <x:f>COUNTIFS(INDICADORES!$B$2:$B$66,$A11,INDICADORES!$D$2:$D$66,"SI")+COUNTIFS(INDICADORES!$B$2:$B$66,$A11,INDICADORES!$D$2:$D$66,"PARCIAL")+COUNTIFS(INDICADORES!$B$2:$B$66,$A11,INDICADORES!$D$2:$D$66,"NO")</x:f>
        <x:v>5</x:v>
      </x:c>
      <x:c r="D11" s="8" t="n">
        <x:f>B11-C11</x:f>
        <x:v>0</x:v>
      </x:c>
      <x:c r="E11" s="88" t="n">
        <x:f>AVERAGEIF(INDICADORES!$B$2:$B$66,$A11,INDICADORES!$E$2:$E$66)</x:f>
        <x:v>0.4</x:v>
      </x:c>
    </x:row>
    <x:row r="12">
      <x:c r="A12" s="8" t="inlineStr">
        <x:is>
          <x:t xml:space="preserve">2.5.    IGUALDAD EN LA NORMATIVA</x:t>
        </x:is>
      </x:c>
      <x:c r="B12" s="8" t="n">
        <x:f>COUNTIF(INDICADORES!$B$2:$B$66,$A12)</x:f>
        <x:v>3</x:v>
      </x:c>
      <x:c r="C12" s="8" t="n">
        <x:f>COUNTIFS(INDICADORES!$B$2:$B$66,$A12,INDICADORES!$D$2:$D$66,"SI")+COUNTIFS(INDICADORES!$B$2:$B$66,$A12,INDICADORES!$D$2:$D$66,"PARCIAL")+COUNTIFS(INDICADORES!$B$2:$B$66,$A12,INDICADORES!$D$2:$D$66,"NO")</x:f>
        <x:v>3</x:v>
      </x:c>
      <x:c r="D12" s="8" t="n">
        <x:f>B12-C12</x:f>
        <x:v>0</x:v>
      </x:c>
      <x:c r="E12" s="88" t="n">
        <x:f>AVERAGEIF(INDICADORES!$B$2:$B$66,$A12,INDICADORES!$E$2:$E$66)</x:f>
        <x:v>0</x:v>
      </x:c>
    </x:row>
    <x:row r="13">
      <x:c r="A13" s="8" t="inlineStr">
        <x:is>
          <x:t xml:space="preserve">2.6.    CLAUSULAS DE IGUALDAD EN SUBVENCIONES Y CONTRATOS PÚBLICOS</x:t>
        </x:is>
      </x:c>
      <x:c r="B13" s="8" t="n">
        <x:f>COUNTIF(INDICADORES!$B$2:$B$66,$A13)</x:f>
        <x:v>8</x:v>
      </x:c>
      <x:c r="C13" s="8" t="n">
        <x:f>COUNTIFS(INDICADORES!$B$2:$B$66,$A13,INDICADORES!$D$2:$D$66,"SI")+COUNTIFS(INDICADORES!$B$2:$B$66,$A13,INDICADORES!$D$2:$D$66,"PARCIAL")+COUNTIFS(INDICADORES!$B$2:$B$66,$A13,INDICADORES!$D$2:$D$66,"NO")</x:f>
        <x:v>8</x:v>
      </x:c>
      <x:c r="D13" s="8" t="n">
        <x:f>B13-C13</x:f>
        <x:v>0</x:v>
      </x:c>
      <x:c r="E13" s="88" t="n">
        <x:f>AVERAGEIF(INDICADORES!$B$2:$B$66,$A13,INDICADORES!$E$2:$E$66)</x:f>
        <x:v>0.125</x:v>
      </x:c>
    </x:row>
    <x:row r="14">
      <x:c r="A14" s="8" t="inlineStr">
        <x:is>
          <x:t xml:space="preserve">2.7.    PERSPECTIVA DE GÉNERO EN PLANES SECTORIALES Y TRANSVERSALES</x:t>
        </x:is>
      </x:c>
      <x:c r="B14" s="8" t="n">
        <x:f>COUNTIF(INDICADORES!$B$2:$B$66,$A14)</x:f>
        <x:v>6</x:v>
      </x:c>
      <x:c r="C14" s="8" t="n">
        <x:f>COUNTIFS(INDICADORES!$B$2:$B$66,$A14,INDICADORES!$D$2:$D$66,"SI")+COUNTIFS(INDICADORES!$B$2:$B$66,$A14,INDICADORES!$D$2:$D$66,"PARCIAL")+COUNTIFS(INDICADORES!$B$2:$B$66,$A14,INDICADORES!$D$2:$D$66,"NO")</x:f>
        <x:v>6</x:v>
      </x:c>
      <x:c r="D14" s="8" t="n">
        <x:f>B14-C14</x:f>
        <x:v>0</x:v>
      </x:c>
      <x:c r="E14" s="88" t="n">
        <x:f>AVERAGEIF(INDICADORES!$B$2:$B$66,$A14,INDICADORES!$E$2:$E$66)</x:f>
        <x:v>0.027777777777777776</x:v>
      </x:c>
    </x:row>
    <x:row r="15">
      <x:c r="A15" s="10" t="inlineStr">
        <x:is>
          <x:t xml:space="preserve">1. CONDICIONES ESTRUCTURALES (total)</x:t>
        </x:is>
      </x:c>
      <x:c r="B15" s="10" t="n"/>
      <x:c r="C15" s="10" t="n"/>
      <x:c r="D15" s="10" t="n"/>
      <x:c r="E15" s="89" t="n">
        <x:f>AVERAGE(E2:E7)</x:f>
        <x:v>0.43214285714285716</x:v>
      </x:c>
    </x:row>
    <x:row r="16">
      <x:c r="A16" s="10" t="inlineStr">
        <x:is>
          <x:t xml:space="preserve">2. PROCESOS DE TRABAJO (total)</x:t>
        </x:is>
      </x:c>
      <x:c r="B16" s="10" t="n"/>
      <x:c r="C16" s="10" t="n"/>
      <x:c r="D16" s="10" t="n"/>
      <x:c r="E16" s="89" t="n">
        <x:f>AVERAGE(E8:E14)</x:f>
        <x:v>0.12182539682539684</x:v>
      </x:c>
    </x:row>
    <x:row r="17">
      <x:c r="A17" s="10" t="inlineStr">
        <x:is>
          <x:t xml:space="preserve">TOTAL GENERAL</x:t>
        </x:is>
      </x:c>
      <x:c r="B17" s="10" t="n"/>
      <x:c r="C17" s="10" t="n"/>
      <x:c r="D17" s="10" t="n"/>
      <x:c r="E17" s="89" t="n">
        <x:f>AVERAGE(E15:E16)</x:f>
        <x:v>0.276984126984127</x:v>
      </x:c>
    </x:row>
  </x:sheetData>
  <x:pageMargins left="0.7" right="0.7" top="0.75" bottom="0.75" header="0.3" footer="0.3"/>
</x:worksheet>
</file>

<file path=xl/worksheets/sheet3.xml><?xml version="1.0" encoding="utf-8"?>
<x:worksheet xmlns:x="http://schemas.openxmlformats.org/spreadsheetml/2006/main">
  <x:sheetViews>
    <x:sheetView workbookViewId="0">
      <x:pane xSplit="3" topLeftCell="D1" activePane="topRight" state="frozen"/>
    </x:sheetView>
  </x:sheetViews>
  <x:sheetFormatPr baseColWidth="8" defaultRowHeight="15"/>
  <x:cols>
    <x:col min="1" max="1" width="16" customWidth="1"/>
    <x:col min="2" max="2" width="42" customWidth="1"/>
    <x:col min="3" max="3" width="13" customWidth="1"/>
    <x:col min="4" max="4" width="16" customWidth="1"/>
    <x:col min="5" max="5" width="16" customWidth="1"/>
    <x:col min="6" max="6" width="16" customWidth="1"/>
    <x:col min="7" max="7" width="16" customWidth="1"/>
    <x:col min="8" max="8" width="16" customWidth="1"/>
    <x:col min="9" max="9" width="90" customWidth="1"/>
  </x:cols>
  <x:sheetData>
    <x:row r="1">
      <x:c r="A1" s="27" t="inlineStr">
        <x:is>
          <x:t xml:space="preserve">TIPO 2. PROCESOS DE TRABAJO — VERIFICACION DOCUMENTAL DE LOS MANDATOS LEGALES</x:t>
        </x:is>
      </x:c>
    </x:row>
    <x:row r="2">
      <x:c r="A2" s="28" t="inlineStr">
        <x:is>
          <x:t xml:space="preserve">Que contiene esta hoja y como se ha construido</x:t>
        </x:is>
      </x:c>
    </x:row>
    <x:row r="3"/>
    <x:row r="4">
      <x:c r="A4" s="29" t="inlineStr">
        <x:is>
          <x:t xml:space="preserve">El tipo 2 de la herramienta, Procesos de trabajo, agrupa 34 indicadores repartidos en siete ambitos: 2.1 presupuestos con perspectiva de genero, 2.2 estadisticas e investigaciones, 2.3 formacion en igualdad, 2.4 acceso, provision y promocion al empleo publico, 2.5 igualdad en la normativa, 2.6 clausulas de igualdad en subvenciones y contratos publicos y 2.7 perspectiva de genero en planes sectoriales y transversales.</x:t>
        </x:is>
      </x:c>
    </x:row>
    <x:row r="5"/>
    <x:row r="6">
      <x:c r="A6" s="29" t="inlineStr">
        <x:is>
          <x:t xml:space="preserve">A diferencia de las condiciones estructurales del tipo 1, que se acreditan sobre todo por la existencia o inexistencia de organos, planes y estructuras, los procesos de trabajo se acreditan sobre documentos administrativos concretos: unas bases, un pliego, una convocatoria, un plan sectorial. Por eso tres de los siete ambitos se han verificado documento a documento contra el articulado vigente, y esa verificacion es la que se recoge en los tres bloques de esta hoja:</x:t>
        </x:is>
      </x:c>
    </x:row>
    <x:row r="7">
      <x:c r="B7" s="29" t="inlineStr">
        <x:is>
          <x:t xml:space="preserve">Bloque 1. Acceso, provision y promocion al empleo publico (indicadores 2.3.3 y 2.4.1 a 2.4.4), sobre las bases del unico proceso selectivo del periodo publicado en la web municipal.</x:t>
        </x:is>
      </x:c>
    </x:row>
    <x:row r="8">
      <x:c r="B8" s="29" t="str">
        <x:v>Contratación pública: análisis separado en la hoja Contrataciones.</x:v>
      </x:c>
    </x:row>
    <x:row r="9">
      <x:c r="B9" s="29" t="str">
        <x:v>Subvenciones públicas: análisis separado en la hoja Subvenciones.</x:v>
      </x:c>
    </x:row>
    <x:row r="10"/>
    <x:row r="11">
      <x:c r="A11" s="29" t="inlineStr">
        <x:is>
          <x:t xml:space="preserve">Los otros cuatro ambitos no admiten este tipo de verificacion, o no se ha podido realizar, y se han valorado con las fuentes que se detallan en la columna de evidencia de cada indicador en la hoja INDICADORES:</x:t>
        </x:is>
      </x:c>
    </x:row>
    <x:row r="12">
      <x:c r="B12" s="29" t="inlineStr">
        <x:is>
          <x:t xml:space="preserve">2.1 Presupuestos: presupuesto municipal de 2025 publicado en la web, ultimo disponible, sobre el que se ha calculado el porcentaje destinado a igualdad. El documento publicado es un resumen por capitulos y articulos, sin desglose por programas, de modo que la partida de igualdad no es identificable en el documento presupuestario publico.</x:t>
        </x:is>
      </x:c>
    </x:row>
    <x:row r="13">
      <x:c r="B13" s="29" t="inlineStr">
        <x:is>
          <x:t xml:space="preserve">2.2 Estadisticas e investigaciones: no existe un documento unico verificable. La valoracion se sostiene en las entrevistas por areas, que coinciden en que la variable sexo esta incorporada en los impresos pero no se explota, y en la constatacion de que existen datos desagregados que nadie solicita, como los de la Red Vasca de Oficinas de Turismo.</x:t>
        </x:is>
      </x:c>
    </x:row>
    <x:row r="14">
      <x:c r="B14" s="29" t="inlineStr">
        <x:is>
          <x:t xml:space="preserve">2.3 Formacion: ausencia de plan de formacion municipal, acreditada por la tecnica de igualdad y por las areas entrevistadas. El indicador 2.3.3, que si se verifica sobre documento, esta en el bloque 1 de esta hoja por analizarse sobre las bases del proceso selectivo.</x:t>
        </x:is>
      </x:c>
    </x:row>
    <x:row r="15">
      <x:c r="B15" s="29" t="inlineStr">
        <x:is>
          <x:t xml:space="preserve">2.5 Igualdad en la normativa: no se ha obtenido la relacion de ordenanzas y reglamentos aprobados en el periodo ni sus expedientes, de modo que la valoracion se apoya en las declaraciones contradictorias de las areas y en la ausencia de acuerdos o instrucciones municipales sobre evaluacion previa de impacto de genero. Es el ambito con la evidencia mas debil de todo el tipo 2.</x:t>
        </x:is>
      </x:c>
    </x:row>
    <x:row r="16">
      <x:c r="B16" s="29" t="inlineStr">
        <x:is>
          <x:t xml:space="preserve">2.7 Planes sectoriales y transversales: inventario completo de los planes estrategicos publicados en la web municipal, que son solo tres, el Plan de Igualdad, el Plan Antifraude de 2023 y el Plan de Accesibilidad de 2022. Los dos ultimos se han analizado integramente y no incorporan diagnostico de desigualdad, objetivos, acciones ni indicadores de genero.</x:t>
        </x:is>
      </x:c>
    </x:row>
    <x:row r="17"/>
    <x:row r="18">
      <x:c r="A18" s="28" t="inlineStr">
        <x:is>
          <x:t xml:space="preserve">Criterio comun de los tres bloques verificados</x:t>
        </x:is>
      </x:c>
    </x:row>
    <x:row r="19">
      <x:c r="A19" s="29" t="inlineStr">
        <x:is>
          <x:t xml:space="preserve">Cada fila es un mandato legal o una variable verificable, no un indicador de la herramienta: un mismo indicador puede depender de varios mandatos, y por eso se indica en cada fila a que indicador afecta. La valoracion de cada casilla responde solo a lo que dice el documento analizado, no a lo declarado en las entrevistas; cuando ambas fuentes coinciden se hace constar en la justificacion. Se emplea NO VERIF. cuando el documento necesario no ha podido obtenerse, para no confundir la ausencia de prueba con la prueba de ausencia.</x:t>
        </x:is>
      </x:c>
    </x:row>
    <x:row r="20"/>
    <x:row r="21">
      <x:c r="A21" s="28" t="inlineStr">
        <x:is>
          <x:t xml:space="preserve">Vigencia aplicada</x:t>
        </x:is>
      </x:c>
    </x:row>
    <x:row r="22">
      <x:c r="A22" s="29" t="inlineStr">
        <x:is>
          <x:t xml:space="preserve">Los mandatos de los articulos 22 y 23 en su redaccion actual proceden de la Ley 1/2022, de 3 de marzo, de segunda modificacion de la Ley 4/2005, hoy refundida en el Decreto Legislativo 1/2023, de 16 de marzo. Cada documento se valora sobre la redaccion vigente en la fecha de su aprobacion: el pliego de febrero de 2022 y las bases de subvenciones de euskera de 2021 son anteriores a esa reforma y se valoran sobre la redaccion previa; el resto de la muestra le esta plenamente sujeto. Esta distincion permite comprobar si el Ayuntamiento ha adaptado sus modelos tras la reforma, y la respuesta documentada es que no lo ha hecho: la clausula de los pliegos es identica en 2022 y en 2026.</x:t>
        </x:is>
      </x:c>
    </x:row>
    <x:row r="23"/>
    <x:row r="24">
      <x:c r="A24" s="28" t="inlineStr">
        <x:is>
          <x:t xml:space="preserve">Sintesis de los tres bloques</x:t>
        </x:is>
      </x:c>
    </x:row>
    <x:row r="25">
      <x:c r="A25" s="29" t="str">
        <x:v>Empleo publico: de cinco variables con indicador asociado se cumplen dos y se incumplen tres. Contratacion publica: revisadas las cinco carátulas, las nueve comprobaciones documentales dan dos SI y siete NO por contrato; no quedan comprobaciones pendientes por falta de carátulas. Subvenciones públicas: revisadas las convocatorias y su ordenanza. Hay cláusulas de igualdad y controles generales, con cobertura desigual y sin acreditación de un sistema efectivo específico. La matriz es documental y no se agrega como porcentaje de cumplimiento legal.</x:v>
      </x:c>
    </x:row>
    <x:row r="27">
      <x:c r="A27" s="16" t="inlineStr">
        <x:is>
          <x:t xml:space="preserve">1. ACCESO, PROVISION Y PROMOCION AL EMPLEO PUBLICO</x:t>
        </x:is>
      </x:c>
    </x:row>
    <x:row r="28">
      <x:c r="A28" s="17" t="inlineStr">
        <x:is>
          <x:t xml:space="preserve">BASE ANALIZADA: Proceso extraordinario de estabilizacion de empleo temporal (Ley 20/2021), aprobado por Decreto de Alcaldia num. 347 de 19/05/2022 y publicado en el BOB num. 248 de 30/12/2022, con correcciones en el BOB de 12/04/2023 y de 10/05/2023 y convocatoria en el BOE de 30/05/2023. Comprende unas bases generales y trece bases especificas por plaza. Es el unico proceso selectivo del periodo evaluado publicado en la web municipal: los demas procesos disponibles en el apartado O.P.E. son de 2018 y 2019, anteriores al periodo, y no consta ninguna convocatoria en 2026.</x:t>
        </x:is>
      </x:c>
    </x:row>
    <x:row r="29">
      <x:c r="A29" s="18" t="inlineStr">
        <x:is>
          <x:t xml:space="preserve">NORMA DE CONTRASTE: Articulos 20 y siguientes del Decreto Legislativo 1/2023 y articulos 27.2 y 31 de la Ley 6/1989 de la Funcion Publica Vasca, a los que las propias bases se remiten.</x:t>
        </x:is>
      </x:c>
    </x:row>
    <x:row r="30"/>
    <x:row r="31">
      <x:c r="A31" s="19" t="inlineStr">
        <x:is>
          <x:t xml:space="preserve">Art.</x:t>
        </x:is>
      </x:c>
      <x:c r="B31" s="19" t="inlineStr">
        <x:is>
          <x:t xml:space="preserve">Variable verificada</x:t>
        </x:is>
      </x:c>
      <x:c r="C31" s="19" t="inlineStr">
        <x:is>
          <x:t xml:space="preserve">Indicador</x:t>
        </x:is>
      </x:c>
      <x:c r="D31" s="19" t="inlineStr">
        <x:is>
          <x:t xml:space="preserve">Estabilizacion 2022</x:t>
        </x:is>
      </x:c>
      <x:c r="E31" s="19" t="inlineStr">
        <x:is>
          <x:t xml:space="preserve">Justificacion</x:t>
        </x:is>
      </x:c>
    </x:row>
    <x:row r="32">
      <x:c r="A32" s="20" t="inlineStr">
        <x:is>
          <x:t xml:space="preserve">20.6 y 22 Ley 6/1989 / art. 3 DL 1/2023</x:t>
        </x:is>
      </x:c>
      <x:c r="B32" s="21" t="inlineStr">
        <x:is>
          <x:t xml:space="preserve">Sistema selectivo y existencia de temario o programa de materias en el que insertar contenidos de igualdad</x:t>
        </x:is>
      </x:c>
      <x:c r="C32" s="21" t="inlineStr">
        <x:is>
          <x:t xml:space="preserve">2.4.1</x:t>
        </x:is>
      </x:c>
      <x:c r="D32" s="22" t="inlineStr">
        <x:is>
          <x:t xml:space="preserve">NO</x:t>
        </x:is>
      </x:c>
      <x:c r="E32" s="21" t="inlineStr">
        <x:is>
          <x:t xml:space="preserve">La base decima fija que el procedimiento de seleccion es el de concurso; las bases especificas anaden una segunda parte consistente en prueba de euskera. No hay fase de oposicion ni temario, de modo que no existe soporte donde insertar contenidos de igualdad, y no se insertan por otra via. La ausencia de temario deriva del regimen de la Ley 20/2021, no de una decision municipal, pero el resultado verificable es el incumplimiento.</x:t>
        </x:is>
      </x:c>
    </x:row>
    <x:row r="33">
      <x:c r="A33" s="20" t="inlineStr">
        <x:is>
          <x:t xml:space="preserve">---</x:t>
        </x:is>
      </x:c>
      <x:c r="B33" s="21" t="inlineStr">
        <x:is>
          <x:t xml:space="preserve">Valoracion de formacion o meritos en materia de igualdad en el baremo del concurso</x:t>
        </x:is>
      </x:c>
      <x:c r="C33" s="21" t="inlineStr">
        <x:is>
          <x:t xml:space="preserve">2.3.3</x:t>
        </x:is>
      </x:c>
      <x:c r="D33" s="22" t="inlineStr">
        <x:is>
          <x:t xml:space="preserve">NO</x:t>
        </x:is>
      </x:c>
      <x:c r="E33" s="21" t="inlineStr">
        <x:is>
          <x:t xml:space="preserve">El baremo (base decima y Anexo I) reparte 100 puntos: experiencia hasta 80 (general 60, especifica 20) y otros meritos hasta 20, integrados por titulacion superior a la exigida (10), titulacion del mismo nivel (7,5), horas de formacion recibida (hasta 20), horas de formacion impartida (hasta 20), informatica via IT Txartela (hasta 20) y euskera (hasta 16). Ningun merito de igualdad. Ademas los apartados b.3 y b.4 acotan la formacion valorable a la relacionada con el ambito funcional de los puestos asociados a las plazas convocadas, lo que excluye la formacion en igualdad salvo en plazas del propio area.</x:t>
        </x:is>
      </x:c>
    </x:row>
    <x:row r="34">
      <x:c r="A34" s="20" t="inlineStr">
        <x:is>
          <x:t xml:space="preserve">art. 27.2 Ley 6/1989 y art. 20 DL 1/2023</x:t>
        </x:is>
      </x:c>
      <x:c r="B34" s="21" t="inlineStr">
        <x:is>
          <x:t xml:space="preserve">Identificacion de desigualdades e insercion de medidas de accion positiva en las bases</x:t>
        </x:is>
      </x:c>
      <x:c r="C34" s="21" t="inlineStr">
        <x:is>
          <x:t xml:space="preserve">2.4.2</x:t>
        </x:is>
      </x:c>
      <x:c r="D34" s="23" t="inlineStr">
        <x:is>
          <x:t xml:space="preserve">SI</x:t>
        </x:is>
      </x:c>
      <x:c r="E34" s="21" t="inlineStr">
        <x:is>
          <x:t xml:space="preserve">Base 10.4, clausula de prioridad: en caso de existir igualdad de capacitacion se dara prioridad a las mujeres en aquellas escalas en las que la representacion de las mujeres sea inferior al 40 por ciento, salvo que concurran en el otro candidato motivos no discriminatorios por razon de sexo que justifiquen la no aplicacion, como la pertenencia a otros colectivos con especiales dificultades de acceso. En las bases de la Policia Municipal se anade la clausula del articulo 66 del Texto Refundido de la Ley de Policia del Pais Vasco, con la finalidad expresa de corregir la infrarrepresentacion de las mujeres, y se remite a la Ley 4/2005 para dirimir empates.</x:t>
        </x:is>
      </x:c>
    </x:row>
    <x:row r="35">
      <x:c r="A35" s="20" t="inlineStr">
        <x:is>
          <x:t xml:space="preserve">art. 31 Ley 6/1989 y art. 20 DL 1/2023</x:t>
        </x:is>
      </x:c>
      <x:c r="B35" s="21" t="inlineStr">
        <x:is>
          <x:t xml:space="preserve">Clausula de representacion equilibrada en la composicion del tribunal</x:t>
        </x:is>
      </x:c>
      <x:c r="C35" s="21" t="inlineStr">
        <x:is>
          <x:t xml:space="preserve">2.4.3</x:t>
        </x:is>
      </x:c>
      <x:c r="D35" s="23" t="inlineStr">
        <x:is>
          <x:t xml:space="preserve">SI</x:t>
        </x:is>
      </x:c>
      <x:c r="E35" s="21" t="inlineStr">
        <x:is>
          <x:t xml:space="preserve">Base 17.1: salvo que se justifique debidamente su no pertinencia, la composicion del tribunal ha de ser equilibrada de mujeres y hombres con capacitacion, competencia y preparacion adecuada; se considera equilibrada cuando en organos de mas de cuatro miembros cada sexo esta representado al menos al 40 por ciento. Cita el articulo 31 de la Ley 6/1989 y el articulo 20 de la Ley 4/2005. La clausula fija umbral, lo vincula a capacitacion y somete la excepcion a justificacion. No se ha verificado la composicion real de los tribunales nombrados, que se publica junto a la relacion definitiva de personas admitidas y no forma parte de las bases.</x:t>
        </x:is>
      </x:c>
    </x:row>
    <x:row r="36">
      <x:c r="A36" s="20" t="inlineStr">
        <x:is>
          <x:t xml:space="preserve">art. 20 DL 1/2023</x:t>
        </x:is>
      </x:c>
      <x:c r="B36" s="21" t="inlineStr">
        <x:is>
          <x:t xml:space="preserve">Exigencia de formacion en igualdad a quienes integran el tribunal o asesoramiento en perspectiva de genero</x:t>
        </x:is>
      </x:c>
      <x:c r="C36" s="21" t="inlineStr">
        <x:is>
          <x:t xml:space="preserve">2.4.4</x:t>
        </x:is>
      </x:c>
      <x:c r="D36" s="22" t="inlineStr">
        <x:is>
          <x:t xml:space="preserve">NO</x:t>
        </x:is>
      </x:c>
      <x:c r="E36" s="21" t="inlineStr">
        <x:is>
          <x:t xml:space="preserve">Ni las bases generales ni las especificas exigen formacion o capacitacion en igualdad a las personas del tribunal. La base 17.1 permite al tribunal disponer del asesoramiento de especialistas, pero acota que dichas personas se limitaran a asesorar en sus especialidades tecnicas, y preve la colaboracion de personal tecnico municipal para cuestiones de indole tecnico relativas a los meritos. No se contempla asesoramiento en perspectiva de genero ni intervencion del servicio de igualdad.</x:t>
        </x:is>
      </x:c>
    </x:row>
    <x:row r="37">
      <x:c r="A37" s="20" t="inlineStr">
        <x:is>
          <x:t xml:space="preserve">art. 20 DL 1/2023 (informativo)</x:t>
        </x:is>
      </x:c>
      <x:c r="B37" s="21" t="inlineStr">
        <x:is>
          <x:t xml:space="preserve">Otras medidas: adaptacion de pruebas por embarazo o lactancia, medidas de conciliacion para participar en el proceso</x:t>
        </x:is>
      </x:c>
      <x:c r="C37" s="21" t="inlineStr">
        <x:is>
          <x:t xml:space="preserve">sin indicador propio</x:t>
        </x:is>
      </x:c>
      <x:c r="D37" s="22" t="inlineStr">
        <x:is>
          <x:t xml:space="preserve">NO</x:t>
        </x:is>
      </x:c>
      <x:c r="E37" s="21" t="inlineStr">
        <x:is>
          <x:t xml:space="preserve">Fila informativa, no puntua en la herramienta. No se ha localizado en las bases ninguna previsión de adaptacion del calendario o de las pruebas por embarazo, parto o lactancia, ni medidas de conciliacion para facilitar la participacion. Los terminos embarazo y lactancia no aparecen en el texto.</x:t>
        </x:is>
      </x:c>
    </x:row>
    <x:row r="38" ht="48" customHeight="1"/>
    <x:row r="39">
      <x:c r="A39" s="24" t="inlineStr">
        <x:is>
          <x:t xml:space="preserve">Resultado del bloque: de las cinco variables con indicador asociado, se cumplen 2 (medidas de accion positiva y composicion equilibrada del tribunal) y se incumplen 3 (contenidos de igualdad en el proceso, valoracion de meritos en igualdad y capacitacion del tribunal). Las dos que se cumplen son clausulas de origen legal reproducidas del modelo normativo autonomico; las tres que fallan son las que exigirian una decision propia del Ayuntamiento.</x:t>
        </x:is>
      </x:c>
    </x:row>
    <x:row r="40"/>
    <x:row r="41"/>
    <x:row r="42">
      <x:c r="A42"/>
    </x:row>
    <x:row r="43">
      <x:c r="A43"/>
    </x:row>
    <x:row r="44">
      <x:c r="A44"/>
    </x:row>
    <x:row r="45"/>
    <x:row r="46">
      <x:c r="A46"/>
      <x:c r="B46"/>
      <x:c r="C46"/>
      <x:c r="D46"/>
      <x:c r="E46"/>
      <x:c r="F46"/>
      <x:c r="G46"/>
      <x:c r="H46"/>
      <x:c r="I46"/>
    </x:row>
    <x:row r="47">
      <x:c r="A47"/>
      <x:c r="B47"/>
      <x:c r="C47"/>
      <x:c r="D47"/>
      <x:c r="E47"/>
      <x:c r="F47"/>
      <x:c r="G47"/>
      <x:c r="H47"/>
      <x:c r="I47"/>
    </x:row>
    <x:row r="48">
      <x:c r="A48"/>
      <x:c r="B48"/>
      <x:c r="C48"/>
      <x:c r="D48"/>
      <x:c r="E48"/>
      <x:c r="F48"/>
      <x:c r="G48"/>
      <x:c r="H48"/>
      <x:c r="I48"/>
    </x:row>
    <x:row r="49">
      <x:c r="A49"/>
      <x:c r="B49"/>
      <x:c r="C49"/>
      <x:c r="D49"/>
      <x:c r="E49"/>
      <x:c r="F49"/>
      <x:c r="G49"/>
      <x:c r="H49"/>
      <x:c r="I49"/>
    </x:row>
    <x:row r="50">
      <x:c r="A50"/>
      <x:c r="B50"/>
      <x:c r="C50"/>
      <x:c r="D50"/>
      <x:c r="E50"/>
      <x:c r="F50"/>
      <x:c r="G50"/>
      <x:c r="H50"/>
      <x:c r="I50"/>
    </x:row>
    <x:row r="51">
      <x:c r="A51"/>
      <x:c r="B51"/>
      <x:c r="C51"/>
      <x:c r="D51"/>
      <x:c r="E51"/>
      <x:c r="F51"/>
      <x:c r="G51"/>
      <x:c r="H51"/>
      <x:c r="I51"/>
    </x:row>
    <x:row r="52">
      <x:c r="A52"/>
      <x:c r="B52"/>
      <x:c r="C52"/>
      <x:c r="D52"/>
      <x:c r="E52"/>
      <x:c r="F52"/>
      <x:c r="G52"/>
      <x:c r="H52"/>
      <x:c r="I52"/>
    </x:row>
    <x:row r="53">
      <x:c r="A53"/>
      <x:c r="B53"/>
      <x:c r="C53"/>
      <x:c r="D53"/>
      <x:c r="E53"/>
      <x:c r="F53"/>
      <x:c r="G53"/>
      <x:c r="H53"/>
      <x:c r="I53"/>
    </x:row>
    <x:row r="54">
      <x:c r="A54"/>
      <x:c r="B54"/>
      <x:c r="C54"/>
      <x:c r="D54"/>
      <x:c r="E54"/>
      <x:c r="F54"/>
      <x:c r="G54"/>
      <x:c r="H54"/>
      <x:c r="I54"/>
    </x:row>
    <x:row r="55">
      <x:c r="A55"/>
      <x:c r="B55"/>
      <x:c r="C55"/>
      <x:c r="D55"/>
      <x:c r="E55"/>
      <x:c r="F55"/>
      <x:c r="G55"/>
      <x:c r="H55"/>
      <x:c r="I55"/>
    </x:row>
    <x:row r="56"/>
    <x:row r="57">
      <x:c r="A57"/>
    </x:row>
    <x:row r="58"/>
    <x:row r="59"/>
    <x:row r="60">
      <x:c r="A60"/>
    </x:row>
    <x:row r="61">
      <x:c r="A61"/>
    </x:row>
    <x:row r="62">
      <x:c r="A62"/>
    </x:row>
    <x:row r="63"/>
    <x:row r="64">
      <x:c r="A64"/>
      <x:c r="B64"/>
      <x:c r="C64"/>
      <x:c r="D64"/>
      <x:c r="E64"/>
      <x:c r="F64"/>
      <x:c r="G64"/>
      <x:c r="H64"/>
      <x:c r="I64"/>
    </x:row>
    <x:row r="65">
      <x:c r="A65"/>
      <x:c r="B65"/>
      <x:c r="C65"/>
      <x:c r="D65"/>
      <x:c r="E65"/>
      <x:c r="F65"/>
      <x:c r="G65"/>
      <x:c r="H65"/>
      <x:c r="I65"/>
    </x:row>
    <x:row r="66">
      <x:c r="A66"/>
      <x:c r="B66"/>
      <x:c r="C66"/>
      <x:c r="D66"/>
      <x:c r="E66"/>
      <x:c r="F66"/>
      <x:c r="G66"/>
      <x:c r="H66"/>
      <x:c r="I66"/>
    </x:row>
    <x:row r="67">
      <x:c r="A67"/>
      <x:c r="B67"/>
      <x:c r="C67"/>
      <x:c r="D67"/>
      <x:c r="E67"/>
      <x:c r="F67"/>
      <x:c r="G67"/>
      <x:c r="H67"/>
      <x:c r="I67"/>
    </x:row>
    <x:row r="68">
      <x:c r="A68"/>
      <x:c r="B68"/>
      <x:c r="C68"/>
      <x:c r="D68"/>
      <x:c r="E68"/>
      <x:c r="F68"/>
      <x:c r="G68"/>
      <x:c r="H68"/>
      <x:c r="I68"/>
    </x:row>
    <x:row r="69">
      <x:c r="A69"/>
      <x:c r="B69"/>
      <x:c r="C69"/>
      <x:c r="D69"/>
      <x:c r="E69"/>
      <x:c r="F69"/>
      <x:c r="G69"/>
      <x:c r="H69"/>
      <x:c r="I69"/>
    </x:row>
    <x:row r="70">
      <x:c r="A70"/>
      <x:c r="B70"/>
      <x:c r="C70"/>
      <x:c r="D70"/>
      <x:c r="E70"/>
      <x:c r="F70"/>
      <x:c r="G70"/>
      <x:c r="H70"/>
      <x:c r="I70"/>
    </x:row>
    <x:row r="71">
      <x:c r="A71"/>
      <x:c r="B71"/>
      <x:c r="C71"/>
      <x:c r="D71"/>
      <x:c r="E71"/>
      <x:c r="F71"/>
      <x:c r="G71"/>
      <x:c r="H71"/>
      <x:c r="I71"/>
    </x:row>
    <x:row r="72"/>
    <x:row r="73">
      <x:c r="A73"/>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34" hidden="0" customWidth="1"/>
    <x:col min="3" max="3" width="74" hidden="0" customWidth="1"/>
    <x:col min="4" max="4" width="46" hidden="0" customWidth="1"/>
    <x:col min="5" max="5" width="62" hidden="0" customWidth="1"/>
    <x:col min="6" max="6" width="18" hidden="0" customWidth="1"/>
  </x:cols>
  <x:sheetData>
    <x:row r="1" ht="32" customHeight="1">
      <x:c r="A1" s="63" t="str">
        <x:v>Revisión de planes · Gernika-Lumo</x:v>
      </x:c>
      <x:c r="B1" s="63" t="str">
        <x:v>Revisión de planes · Gernika-Lumo</x:v>
      </x:c>
      <x:c r="C1" s="63" t="str">
        <x:v>Revisión de planes · Gernika-Lumo</x:v>
      </x:c>
      <x:c r="D1" s="63" t="str">
        <x:v>Revisión de planes · Gernika-Lumo</x:v>
      </x:c>
      <x:c r="E1" s="63" t="str">
        <x:v>Revisión de planes · Gernika-Lumo</x:v>
      </x:c>
    </x:row>
    <x:row r="2" ht="32" customHeight="1">
      <x:c r="A2" s="67" t="str">
        <x:v>Procedencia y alcance de la información</x:v>
      </x:c>
      <x:c r="B2" s="67" t="str">
        <x:v>Procedencia y alcance de la información</x:v>
      </x:c>
      <x:c r="C2" s="67" t="str">
        <x:v>Procedencia y alcance de la información</x:v>
      </x:c>
      <x:c r="D2" s="67" t="str">
        <x:v>Procedencia y alcance de la información</x:v>
      </x:c>
      <x:c r="E2" s="67" t="str">
        <x:v>Procedencia y alcance de la información</x:v>
      </x:c>
    </x:row>
    <x:row r="3" ht="48" customHeight="1">
      <x:c r="A3" s="71" t="str">
        <x:v>Revisión documental ampliada a 28/09/2026. La evaluación general combina las entrevistas y sesiones de trabajo con la técnica de igualdad y la revisión documental. Esta hoja registra específicamente las evidencias de los documentos de planificación y de las páginas oficiales consultadas.</x:v>
      </x:c>
      <x:c r="B3" s="71" t="str">
        <x:v>Revisión documental ampliada a 28/09/2026. La evaluación general combina las entrevistas y sesiones de trabajo con la técnica de igualdad y la revisión documental. Esta hoja registra específicamente las evidencias de los documentos de planificación y de las páginas oficiales consultadas.</x:v>
      </x:c>
      <x:c r="C3" s="71" t="str">
        <x:v>Revisión documental ampliada a 28/09/2026. La evaluación general combina las entrevistas y sesiones de trabajo con la técnica de igualdad y la revisión documental. Esta hoja registra específicamente las evidencias de los documentos de planificación y de las páginas oficiales consultadas.</x:v>
      </x:c>
      <x:c r="D3" s="71" t="str">
        <x:v>Revisión documental ampliada a 28/09/2026. La evaluación general combina las entrevistas y sesiones de trabajo con la técnica de igualdad y la revisión documental. Esta hoja registra específicamente las evidencias de los documentos de planificación y de las páginas oficiales consultadas.</x:v>
      </x:c>
      <x:c r="E3" s="71" t="str">
        <x:v>Revisión documental ampliada a 28/09/2026. La evaluación general combina las entrevistas y sesiones de trabajo con la técnica de igualdad y la revisión documental. Esta hoja registra específicamente las evidencias de los documentos de planificación y de las páginas oficiales consultadas.</x:v>
      </x:c>
    </x:row>
    <x:row r="4" ht="48" customHeight="1">
      <x:c r="A4" s="71" t="str">
        <x:v>Se ha buscado documentación pública de los seis planes identificados, en castellano y euskera, en la web municipal y los portales oficiales de Cultura, Turismo y Euskera, con búsquedas por título, periodo y archivos PDF. Se han seguido los enlaces localizados y contrastado la documentación municipal recibida. La búsqueda no permite garantizar que se haya localizado toda la documentación existente.</x:v>
      </x:c>
      <x:c r="B4" s="71" t="str">
        <x:v>Se ha buscado documentación pública de los seis planes identificados, en castellano y euskera, en la web municipal y los portales oficiales de Cultura, Turismo y Euskera, con búsquedas por título, periodo y archivos PDF. Se han seguido los enlaces localizados y contrastado la documentación municipal recibida. La búsqueda no permite garantizar que se haya localizado toda la documentación existente.</x:v>
      </x:c>
      <x:c r="C4" s="71" t="str">
        <x:v>Se ha buscado documentación pública de los seis planes identificados, en castellano y euskera, en la web municipal y los portales oficiales de Cultura, Turismo y Euskera, con búsquedas por título, periodo y archivos PDF. Se han seguido los enlaces localizados y contrastado la documentación municipal recibida. La búsqueda no permite garantizar que se haya localizado toda la documentación existente.</x:v>
      </x:c>
      <x:c r="D4" s="71" t="str">
        <x:v>Se ha buscado documentación pública de los seis planes identificados, en castellano y euskera, en la web municipal y los portales oficiales de Cultura, Turismo y Euskera, con búsquedas por título, periodo y archivos PDF. Se han seguido los enlaces localizados y contrastado la documentación municipal recibida. La búsqueda no permite garantizar que se haya localizado toda la documentación existente.</x:v>
      </x:c>
      <x:c r="E4" s="71" t="str">
        <x:v>Se ha buscado documentación pública de los seis planes identificados, en castellano y euskera, en la web municipal y los portales oficiales de Cultura, Turismo y Euskera, con búsquedas por título, periodo y archivos PDF. Se han seguido los enlaces localizados y contrastado la documentación municipal recibida. La búsqueda no permite garantizar que se haya localizado toda la documentación existente.</x:v>
      </x:c>
    </x:row>
    <x:row r="5" ht="48" customHeight="1">
      <x:c r="A5" s="71" t="str">
        <x:v>Resultado: seis planes identificados. Documentación de contenido de cuatro: Antifraude, PIMACC, Accesibilidad y Cultura (nueve PDF). Además, tres documentos de aprobación o adhesión. Para Turismo y Euskera se dispone de referencias oficiales, sin texto completo recuperado. Los cinco archivos del PIMACC corresponden a un solo plan.</x:v>
      </x:c>
      <x:c r="B5" s="71" t="str">
        <x:v>Resultado: seis planes identificados. Documentación de contenido de cuatro: Antifraude, PIMACC, Accesibilidad y Cultura (nueve PDF). Además, tres documentos de aprobación o adhesión. Para Turismo y Euskera se dispone de referencias oficiales, sin texto completo recuperado. Los cinco archivos del PIMACC corresponden a un solo plan.</x:v>
      </x:c>
      <x:c r="C5" s="71" t="str">
        <x:v>Resultado: seis planes identificados. Documentación de contenido de cuatro: Antifraude, PIMACC, Accesibilidad y Cultura (nueve PDF). Además, tres documentos de aprobación o adhesión. Para Turismo y Euskera se dispone de referencias oficiales, sin texto completo recuperado. Los cinco archivos del PIMACC corresponden a un solo plan.</x:v>
      </x:c>
      <x:c r="D5" s="71" t="str">
        <x:v>Resultado: seis planes identificados. Documentación de contenido de cuatro: Antifraude, PIMACC, Accesibilidad y Cultura (nueve PDF). Además, tres documentos de aprobación o adhesión. Para Turismo y Euskera se dispone de referencias oficiales, sin texto completo recuperado. Los cinco archivos del PIMACC corresponden a un solo plan.</x:v>
      </x:c>
      <x:c r="E5" s="71" t="str">
        <x:v>Resultado: seis planes identificados. Documentación de contenido de cuatro: Antifraude, PIMACC, Accesibilidad y Cultura (nueve PDF). Además, tres documentos de aprobación o adhesión. Para Turismo y Euskera se dispone de referencias oficiales, sin texto completo recuperado. Los cinco archivos del PIMACC corresponden a un solo plan.</x:v>
      </x:c>
    </x:row>
    <x:row r="6" ht="72" customHeight="1">
      <x:c r="A6" s="71" t="str">
        <x:v>Criterio de cálculo acordado con Helena: realizado = 1; parcialmente realizado = 0,5; no realizado o «No consta» = 0. Cada plan obtiene la media de sus seis evaluaciones. La variable 2.7 obtiene la media de los seis planes. Cada indicador 2.7.1–2.7.6 obtiene la media de ese criterio en los seis planes. Ambas vías dan el mismo resultado porque todos los planes tienen seis evaluaciones. No se excluye ningún «No consta» del denominador. Se conserva la precisión y solo se redondea al mostrar porcentajes.</x:v>
      </x:c>
      <x:c r="B6" s="71" t="str">
        <x:v>«No consta» significa que el requisito no queda acreditado en el material consultado. No equivale a ausencia de la actuación ni a cero puntos. Las referencias parciales se describen expresamente. Los resultados se trasladan a INDICADORES, RESUMEN y la web. Las páginas indicadas son páginas del PDF, no la numeración impresa.</x:v>
      </x:c>
      <x:c r="C6" s="71" t="str">
        <x:v>«No consta» significa que el requisito no queda acreditado en el material consultado. No equivale a ausencia de la actuación ni a cero puntos. Las referencias parciales se describen expresamente. Los resultados se trasladan a INDICADORES, RESUMEN y la web. Las páginas indicadas son páginas del PDF, no la numeración impresa.</x:v>
      </x:c>
      <x:c r="D6" s="71" t="str">
        <x:v>«No consta» significa que el requisito no queda acreditado en el material consultado. No equivale a ausencia de la actuación ni a cero puntos. Las referencias parciales se describen expresamente. Los resultados se trasladan a INDICADORES, RESUMEN y la web. Las páginas indicadas son páginas del PDF, no la numeración impresa.</x:v>
      </x:c>
      <x:c r="E6" s="71" t="str">
        <x:v>«No consta» significa que el requisito no queda acreditado en el material consultado. No equivale a ausencia de la actuación ni a cero puntos. Las referencias parciales se describen expresamente. Los resultados se trasladan a INDICADORES, RESUMEN y la web. Las páginas indicadas son páginas del PDF, no la numeración impresa.</x:v>
      </x:c>
    </x:row>
    <x:row r="7" ht="32" customHeight="1">
      <x:c r="A7" s="67" t="str">
        <x:v>Inventario y resultado de la búsqueda</x:v>
      </x:c>
      <x:c r="B7" s="67" t="str">
        <x:v>Inventario y resultado de la búsqueda</x:v>
      </x:c>
      <x:c r="C7" s="67" t="str">
        <x:v>Inventario y resultado de la búsqueda</x:v>
      </x:c>
      <x:c r="D7" s="67" t="str">
        <x:v>Inventario y resultado de la búsqueda</x:v>
      </x:c>
      <x:c r="E7" s="67" t="str">
        <x:v>Inventario y resultado de la búsqueda</x:v>
      </x:c>
    </x:row>
    <x:row r="8" ht="30" customHeight="1">
      <x:c r="A8" s="75" t="str">
        <x:v>Plan</x:v>
      </x:c>
      <x:c r="B8" s="75" t="str">
        <x:v>Periodo / situación</x:v>
      </x:c>
      <x:c r="C8" s="75" t="str">
        <x:v>Documentación disponible</x:v>
      </x:c>
      <x:c r="D8" s="75" t="str">
        <x:v>Límite de la comprobación</x:v>
      </x:c>
      <x:c r="E8" s="75" t="str">
        <x:v>Fuente</x:v>
      </x:c>
    </x:row>
    <x:row r="9" ht="92" customHeight="1">
      <x:c r="A9" s="79" t="str">
        <x:v>Antifraude</x:v>
      </x:c>
      <x:c r="B9" s="79" t="str">
        <x:v>Adhesión municipal en 2023</x:v>
      </x:c>
      <x:c r="C9" s="79" t="str">
        <x:v>Plan de 58 páginas (documento 31), declaración institucional de 3 páginas (32) y decreto de 5 páginas (33). El decreto 324/2023 recoge la adhesión al plan elaborado por el Gobierno Vasco.</x:v>
      </x:c>
      <x:c r="D9" s="79" t="str">
        <x:v>Se revisa el plan y la documentación municipal de adhesión. No se confunde la declaración general de igualdad con medidas operativas de género.</x:v>
      </x:c>
      <x:c r="E9" s="79" t="str">
        <x:v>Documentación municipal recibida: archivos 31, 32 y 33.</x:v>
      </x:c>
    </x:row>
    <x:row r="10" ht="92" customHeight="1">
      <x:c r="A10" s="75" t="str">
        <x:v>Clima</x:v>
      </x:c>
      <x:c r="B10" s="75" t="str">
        <x:v>PIMACC 2023 y evaluación 2024</x:v>
      </x:c>
      <x:c r="C10" s="75" t="str">
        <x:v>Diagnóstico (104 páginas), plan de acción (49), anexo I (20), anexo II (44) y evaluación de 2024 (una página).</x:v>
      </x:c>
      <x:c r="D10" s="75" t="str">
        <x:v>Se dispone de los cinco archivos publicados en el apartado municipal. La evaluación recuperada es un póster de síntesis de una página.</x:v>
      </x:c>
      <x:c r="E10" s="75" t="str">
        <x:v>https://www.gernika-lumo.eus/es-ES/Servicios/Medio-Ambiente/Paginas/CambioClimatico.aspx</x:v>
      </x:c>
    </x:row>
    <x:row r="11" ht="115" customHeight="1">
      <x:c r="A11" s="79" t="str">
        <x:v>Accesibilidad</x:v>
      </x:c>
      <x:c r="B11" s="79" t="str">
        <x:v>Tomo I: marzo de 2022. Aprobación publicada en 2024.</x:v>
      </x:c>
      <x:c r="C11" s="79" t="str">
        <x:v>Tomo I, Aspectos generales (44 páginas). Anuncio del BOB de 11/12/2024: aprobación por Decreto 1269 de 27/11/2024.</x:v>
      </x:c>
      <x:c r="D11" s="79" t="str">
        <x:v>Se ha revisado la documentación de Accesibilidad disponible. No se presume que falten tomos. El anuncio acredita la aprobación municipal.</x:v>
      </x:c>
      <x:c r="E11" s="79" t="str">
        <x:v>Documento municipal 38. BOB: https://www.bizkaia.eus/lehendakaritza/Bao_bob/2024/12/11/II-6774_cas.pdf</x:v>
      </x:c>
    </x:row>
    <x:row r="12" ht="108" customHeight="1">
      <x:c r="A12" s="75" t="str">
        <x:v>Cultura</x:v>
      </x:c>
      <x:c r="B12" s="75" t="str">
        <x:v>2019–2023</x:v>
      </x:c>
      <x:c r="C12" s="75" t="str">
        <x:v>Sinopsis en castellano (19 páginas) y documento desarrollado en euskera (71 páginas), con actas y anexos. El segundo se ha localizado en la búsqueda ampliada.</x:v>
      </x:c>
      <x:c r="D12" s="75" t="str">
        <x:v>La página de presentación indica que el documento está en elaboración y no es definitivo. No se ha localizado el expediente de aprobación ni se acredita que esta sea la versión final.</x:v>
      </x:c>
      <x:c r="E12" s="75" t="str">
        <x:v>https://kulturagernika-lumo.eus/es/plan-estrategico-kultura-2019-23/</x:v>
      </x:c>
    </x:row>
    <x:row r="13" ht="92" customHeight="1">
      <x:c r="A13" s="79" t="str">
        <x:v>Turismo</x:v>
      </x:c>
      <x:c r="B13" s="79" t="str">
        <x:v>2022–2025</x:v>
      </x:c>
      <x:c r="C13" s="79" t="str">
        <x:v>La web oficial describe el plan, su mapa estratégico, cuadro de mando, observatorio y seguimiento cuantitativo.</x:v>
      </x:c>
      <x:c r="D13" s="79" t="str">
        <x:v>No se ha recuperado el texto completo. La información publicada no permite comprobar los seis requisitos de género.</x:v>
      </x:c>
      <x:c r="E13" s="79" t="str">
        <x:v>https://gernikainfo.eus/prepara-tu-viaje/gernika-destino-sostenible/</x:v>
      </x:c>
    </x:row>
    <x:row r="14" ht="110" customHeight="1">
      <x:c r="A14" s="75" t="str">
        <x:v>Euskera</x:v>
      </x:c>
      <x:c r="B14" s="75" t="str">
        <x:v>ESEP 2024–2027</x:v>
      </x:c>
      <x:c r="C14" s="75" t="str">
        <x:v>La página oficial confirma el plan estratégico dirigido al municipio, aprobado en noviembre de 2023. Se localiza también una antigua dirección del PDF aprobado, actualmente no recuperable.</x:v>
      </x:c>
      <x:c r="D14" s="75" t="str">
        <x:v>El periodo es 2024–2027, no 2024–2025. No se ha recuperado el texto completo. La misma página menciona otro plan, de uso del euskera en la Administración (2023–2027), que es un instrumento distinto.</x:v>
      </x:c>
      <x:c r="E14" s="75" t="str">
        <x:v>https://gernika-lumo-euskaraz.eus/gernika-lumoko-euskara-zerbitzua/</x:v>
      </x:c>
    </x:row>
    <x:row r="15" ht="32" customHeight="1">
      <x:c r="A15" s="67" t="str">
        <x:v>Criterios examinados: variable 2.7 del instrumento</x:v>
      </x:c>
      <x:c r="B15" s="67" t="str">
        <x:v>Criterios examinados: variable 2.7 del instrumento</x:v>
      </x:c>
      <x:c r="C15" s="67" t="str">
        <x:v>Criterios examinados: variable 2.7 del instrumento</x:v>
      </x:c>
      <x:c r="D15" s="67" t="str">
        <x:v>Criterios examinados: variable 2.7 del instrumento</x:v>
      </x:c>
      <x:c r="E15" s="67" t="str">
        <x:v>Criterios examinados: variable 2.7 del instrumento</x:v>
      </x:c>
    </x:row>
    <x:row r="16" ht="48" customHeight="1">
      <x:c r="A16" s="71" t="str">
        <x:v>2.7.1.La existencia de planes estratégicos y transversales que cuenten con diagnósticos previos que analicen la desigualdad entre mujeres y hombres en el ámbito de actuación correspondiente.</x:v>
      </x:c>
      <x:c r="B16" s="71" t="str">
        <x:v>2.7.1.La existencia de planes estratégicos y transversales que cuenten con diagnósticos previos que analicen la desigualdad entre mujeres y hombres en el ámbito de actuación correspondiente.</x:v>
      </x:c>
      <x:c r="C16" s="71" t="str">
        <x:v>2.7.1.La existencia de planes estratégicos y transversales que cuenten con diagnósticos previos que analicen la desigualdad entre mujeres y hombres en el ámbito de actuación correspondiente.</x:v>
      </x:c>
      <x:c r="D16" s="71" t="str">
        <x:v>2.7.1.La existencia de planes estratégicos y transversales que cuenten con diagnósticos previos que analicen la desigualdad entre mujeres y hombres en el ámbito de actuación correspondiente.</x:v>
      </x:c>
      <x:c r="E16" s="71" t="str">
        <x:v>2.7.1.La existencia de planes estratégicos y transversales que cuenten con diagnósticos previos que analicen la desigualdad entre mujeres y hombres en el ámbito de actuación correspondiente.</x:v>
      </x:c>
    </x:row>
    <x:row r="17" ht="48" customHeight="1">
      <x:c r="A17" s="71" t="str">
        <x:v>2.7.2.La inclusión de objetivos de igualdad de mujeres y hombres en planes y programas estratégicos sectoriales y transversales, siguiendo al diagnóstico realizado.</x:v>
      </x:c>
      <x:c r="B17" s="71" t="str">
        <x:v>2.7.2.La inclusión de objetivos de igualdad de mujeres y hombres en planes y programas estratégicos sectoriales y transversales, siguiendo al diagnóstico realizado.</x:v>
      </x:c>
      <x:c r="C17" s="71" t="str">
        <x:v>2.7.2.La inclusión de objetivos de igualdad de mujeres y hombres en planes y programas estratégicos sectoriales y transversales, siguiendo al diagnóstico realizado.</x:v>
      </x:c>
      <x:c r="D17" s="71" t="str">
        <x:v>2.7.2.La inclusión de objetivos de igualdad de mujeres y hombres en planes y programas estratégicos sectoriales y transversales, siguiendo al diagnóstico realizado.</x:v>
      </x:c>
      <x:c r="E17" s="71" t="str">
        <x:v>2.7.2.La inclusión de objetivos de igualdad de mujeres y hombres en planes y programas estratégicos sectoriales y transversales, siguiendo al diagnóstico realizado.</x:v>
      </x:c>
    </x:row>
    <x:row r="18" ht="48" customHeight="1">
      <x:c r="A18" s="71" t="str">
        <x:v>2.7.3.La inclusión de acciones de igualdad en programas y planes estratégicos transversales y sectoriales.</x:v>
      </x:c>
      <x:c r="B18" s="71" t="str">
        <x:v>2.7.3.La inclusión de acciones de igualdad en programas y planes estratégicos transversales y sectoriales.</x:v>
      </x:c>
      <x:c r="C18" s="71" t="str">
        <x:v>2.7.3.La inclusión de acciones de igualdad en programas y planes estratégicos transversales y sectoriales.</x:v>
      </x:c>
      <x:c r="D18" s="71" t="str">
        <x:v>2.7.3.La inclusión de acciones de igualdad en programas y planes estratégicos transversales y sectoriales.</x:v>
      </x:c>
      <x:c r="E18" s="71" t="str">
        <x:v>2.7.3.La inclusión de acciones de igualdad en programas y planes estratégicos transversales y sectoriales.</x:v>
      </x:c>
    </x:row>
    <x:row r="19" ht="48" customHeight="1">
      <x:c r="A19" s="71" t="str">
        <x:v>2.7.4.La inclusión de variables por sexo e indicadores de género en los sistemas de seguimiento y evaluación de planes transversales y sectoriales.</x:v>
      </x:c>
      <x:c r="B19" s="71" t="str">
        <x:v>2.7.4.La inclusión de variables por sexo e indicadores de género en los sistemas de seguimiento y evaluación de planes transversales y sectoriales.</x:v>
      </x:c>
      <x:c r="C19" s="71" t="str">
        <x:v>2.7.4.La inclusión de variables por sexo e indicadores de género en los sistemas de seguimiento y evaluación de planes transversales y sectoriales.</x:v>
      </x:c>
      <x:c r="D19" s="71" t="str">
        <x:v>2.7.4.La inclusión de variables por sexo e indicadores de género en los sistemas de seguimiento y evaluación de planes transversales y sectoriales.</x:v>
      </x:c>
      <x:c r="E19" s="71" t="str">
        <x:v>2.7.4.La inclusión de variables por sexo e indicadores de género en los sistemas de seguimiento y evaluación de planes transversales y sectoriales.</x:v>
      </x:c>
    </x:row>
    <x:row r="20" ht="48" customHeight="1">
      <x:c r="A20" s="71" t="str">
        <x:v>2.7.5.La participación de especialistas y unidades administrativas de igualdad en el diseño de planes transversales y sectoriales.</x:v>
      </x:c>
      <x:c r="B20" s="71" t="str">
        <x:v>2.7.5.La participación de especialistas y unidades administrativas de igualdad en el diseño de planes transversales y sectoriales.</x:v>
      </x:c>
      <x:c r="C20" s="71" t="str">
        <x:v>2.7.5.La participación de especialistas y unidades administrativas de igualdad en el diseño de planes transversales y sectoriales.</x:v>
      </x:c>
      <x:c r="D20" s="71" t="str">
        <x:v>2.7.5.La participación de especialistas y unidades administrativas de igualdad en el diseño de planes transversales y sectoriales.</x:v>
      </x:c>
      <x:c r="E20" s="71" t="str">
        <x:v>2.7.5.La participación de especialistas y unidades administrativas de igualdad en el diseño de planes transversales y sectoriales.</x:v>
      </x:c>
    </x:row>
    <x:row r="21" ht="48" customHeight="1">
      <x:c r="A21" s="71" t="str">
        <x:v>2.7.6.La participación de especialistas y unidades administrativas de igualdad en el seguimiento y evaluación de planes transversales y sectoriales.</x:v>
      </x:c>
      <x:c r="B21" s="71" t="str">
        <x:v>2.7.6.La participación de especialistas y unidades administrativas de igualdad en el seguimiento y evaluación de planes transversales y sectoriales.</x:v>
      </x:c>
      <x:c r="C21" s="71" t="str">
        <x:v>2.7.6.La participación de especialistas y unidades administrativas de igualdad en el seguimiento y evaluación de planes transversales y sectoriales.</x:v>
      </x:c>
      <x:c r="D21" s="71" t="str">
        <x:v>2.7.6.La participación de especialistas y unidades administrativas de igualdad en el seguimiento y evaluación de planes transversales y sectoriales.</x:v>
      </x:c>
      <x:c r="E21" s="71" t="str">
        <x:v>2.7.6.La participación de especialistas y unidades administrativas de igualdad en el seguimiento y evaluación de planes transversales y sectoriales.</x:v>
      </x:c>
    </x:row>
    <x:row r="22" ht="48" customHeight="1">
      <x:c r="A22" s="71" t="str">
        <x:v>En 2.7.5 se distingue la participación en el diagnóstico y en el diseño. En 2.7.6 se comprueba el seguimiento y la evaluación. La participación genérica de otras áreas o de asociaciones no acredita por sí sola la intervención de la técnica, unidad o especialistas en igualdad.</x:v>
      </x:c>
      <x:c r="B22" s="71" t="str">
        <x:v>En 2.7.5 se distingue la participación en el diagnóstico y en el diseño. En 2.7.6 se comprueba el seguimiento y la evaluación. La participación genérica de otras áreas o de asociaciones no acredita por sí sola la intervención de la técnica, unidad o especialistas en igualdad.</x:v>
      </x:c>
      <x:c r="C22" s="71" t="str">
        <x:v>En 2.7.5 se distingue la participación en el diagnóstico y en el diseño. En 2.7.6 se comprueba el seguimiento y la evaluación. La participación genérica de otras áreas o de asociaciones no acredita por sí sola la intervención de la técnica, unidad o especialistas en igualdad.</x:v>
      </x:c>
      <x:c r="D22" s="71" t="str">
        <x:v>En 2.7.5 se distingue la participación en el diagnóstico y en el diseño. En 2.7.6 se comprueba el seguimiento y la evaluación. La participación genérica de otras áreas o de asociaciones no acredita por sí sola la intervención de la técnica, unidad o especialistas en igualdad.</x:v>
      </x:c>
      <x:c r="E22" s="71" t="str">
        <x:v>En 2.7.5 se distingue la participación en el diagnóstico y en el diseño. En 2.7.6 se comprueba el seguimiento y la evaluación. La participación genérica de otras áreas o de asociaciones no acredita por sí sola la intervención de la técnica, unidad o especialistas en igualdad.</x:v>
      </x:c>
    </x:row>
    <x:row r="23" ht="32" customHeight="1">
      <x:c r="A23" s="67" t="str">
        <x:v>Antifraude · documentación de 2023</x:v>
      </x:c>
      <x:c r="B23" s="67" t="str">
        <x:v>Antifraude · documentación de 2023</x:v>
      </x:c>
      <x:c r="C23" s="67" t="str">
        <x:v>Antifraude · documentación de 2023</x:v>
      </x:c>
      <x:c r="D23" s="67" t="str">
        <x:v>Antifraude · documentación de 2023</x:v>
      </x:c>
      <x:c r="E23" s="67" t="str">
        <x:v>Antifraude · documentación de 2023</x:v>
      </x:c>
    </x:row>
    <x:row r="24" ht="32" customHeight="1">
      <x:c r="A24" s="80" t="str">
        <x:v>Indicador</x:v>
      </x:c>
      <x:c r="B24" s="80" t="str">
        <x:v>Aspecto</x:v>
      </x:c>
      <x:c r="C24" s="80" t="str">
        <x:v>Información documentada</x:v>
      </x:c>
      <x:c r="D24" s="80" t="str">
        <x:v>Qué permite concluir</x:v>
      </x:c>
      <x:c r="E24" s="80" t="str">
        <x:v>Documento y página PDF</x:v>
      </x:c>
      <x:c r="F24" s="83" t="str">
        <x:v>Puntos</x:v>
      </x:c>
    </x:row>
    <x:row r="25" ht="72" customHeight="1">
      <x:c r="A25" s="79" t="str">
        <x:v>2.7.1</x:v>
      </x:c>
      <x:c r="B25" s="79" t="str">
        <x:v>Diagnóstico de desigualdades</x:v>
      </x:c>
      <x:c r="C25" s="79" t="str">
        <x:v>El documento analiza riesgos de fraude y conflictos de interés. No se identifica un diagnóstico de desigualdades entre mujeres y hombres en el ámbito del plan.</x:v>
      </x:c>
      <x:c r="D25" s="79" t="str">
        <x:v>No consta el diagnóstico exigido.</x:v>
      </x:c>
      <x:c r="E25" s="79" t="str">
        <x:v>Documento 31: apartados 2–4.</x:v>
      </x:c>
      <x:c r="F25" s="83" t="n">
        <x:v>0</x:v>
      </x:c>
    </x:row>
    <x:row r="26" ht="72" customHeight="1">
      <x:c r="A26" s="75" t="str">
        <x:v>2.7.2</x:v>
      </x:c>
      <x:c r="B26" s="75" t="str">
        <x:v>Objetivos de igualdad</x:v>
      </x:c>
      <x:c r="C26" s="75" t="str">
        <x:v>La declaración del anexo I recoge el respeto a la igualdad entre mujeres y hombres entre los principios del empleo público.</x:v>
      </x:c>
      <x:c r="D26" s="75" t="str">
        <x:v>Consta una referencia general a igualdad. No consta un objetivo de igualdad vinculado a un diagnóstico.</x:v>
      </x:c>
      <x:c r="E26" s="75" t="str">
        <x:v>Documento 31, p. 28 (anexo I, referencia al EBEP).</x:v>
      </x:c>
      <x:c r="F26" s="83" t="n">
        <x:v>0</x:v>
      </x:c>
    </x:row>
    <x:row r="27" ht="72" customHeight="1">
      <x:c r="A27" s="79" t="str">
        <x:v>2.7.3</x:v>
      </x:c>
      <x:c r="B27" s="79" t="str">
        <x:v>Acciones de igualdad</x:v>
      </x:c>
      <x:c r="C27" s="79" t="str">
        <x:v>Las medidas examinadas se centran en prevención, detección y corrección del fraude y los conflictos de interés.</x:v>
      </x:c>
      <x:c r="D27" s="79" t="str">
        <x:v>No consta una acción específica de igualdad entre mujeres y hombres.</x:v>
      </x:c>
      <x:c r="E27" s="79" t="str">
        <x:v>Documento 31, apartados 3–4 y anexos.</x:v>
      </x:c>
      <x:c r="F27" s="83" t="n">
        <x:v>0</x:v>
      </x:c>
    </x:row>
    <x:row r="28" ht="72" customHeight="1">
      <x:c r="A28" s="75" t="str">
        <x:v>2.7.4</x:v>
      </x:c>
      <x:c r="B28" s="75" t="str">
        <x:v>Variables por sexo e indicadores de género</x:v>
      </x:c>
      <x:c r="C28" s="75" t="str">
        <x:v>El seguimiento emplea indicadores de riesgo de fraude. El decreto asigna al Comité Antifraude la propuesta de indicadores y un informe bianual.</x:v>
      </x:c>
      <x:c r="D28" s="75" t="str">
        <x:v>No constan variables por sexo ni indicadores de género.</x:v>
      </x:c>
      <x:c r="E28" s="75" t="str">
        <x:v>Documento 33, p. 4. Documento 31: seguimiento y anexos.</x:v>
      </x:c>
      <x:c r="F28" s="83" t="n">
        <x:v>0</x:v>
      </x:c>
    </x:row>
    <x:row r="29" ht="72" customHeight="1">
      <x:c r="A29" s="79" t="str">
        <x:v>2.7.5</x:v>
      </x:c>
      <x:c r="B29" s="79" t="str">
        <x:v>Igualdad en diagnóstico y diseño</x:v>
      </x:c>
      <x:c r="C29" s="79" t="str">
        <x:v>La adhesión municipal y la constitución del comité están documentadas. No se identifica una intervención de especialistas o de la unidad de igualdad en el diagnóstico o diseño.</x:v>
      </x:c>
      <x:c r="D29" s="79" t="str">
        <x:v>No consta esa participación.</x:v>
      </x:c>
      <x:c r="E29" s="79" t="str">
        <x:v>Documento 33, pp. 3–5.</x:v>
      </x:c>
      <x:c r="F29" s="83" t="n">
        <x:v>0</x:v>
      </x:c>
    </x:row>
    <x:row r="30" ht="72" customHeight="1">
      <x:c r="A30" s="75" t="str">
        <x:v>2.7.6</x:v>
      </x:c>
      <x:c r="B30" s="75" t="str">
        <x:v>Igualdad en seguimiento y evaluación</x:v>
      </x:c>
      <x:c r="C30" s="75" t="str">
        <x:v>El seguimiento se asigna al Comité Antifraude. No se identifica una función de seguimiento o evaluación atribuida a especialistas o a la unidad de igualdad.</x:v>
      </x:c>
      <x:c r="D30" s="75" t="str">
        <x:v>No consta esa participación.</x:v>
      </x:c>
      <x:c r="E30" s="75" t="str">
        <x:v>Documento 33, pp. 4–5.</x:v>
      </x:c>
      <x:c r="F30" s="83" t="n">
        <x:v>0</x:v>
      </x:c>
    </x:row>
    <x:row r="31" ht="32" customHeight="1">
      <x:c r="A31" s="67" t="str">
        <x:v>Clima · PIMACC 2023</x:v>
      </x:c>
      <x:c r="B31" s="67" t="str">
        <x:v>Clima · PIMACC 2023</x:v>
      </x:c>
      <x:c r="C31" s="67" t="str">
        <x:v>Clima · PIMACC 2023</x:v>
      </x:c>
      <x:c r="D31" s="67" t="str">
        <x:v>Clima · PIMACC 2023</x:v>
      </x:c>
      <x:c r="E31" s="67" t="str">
        <x:v>Clima · PIMACC 2023</x:v>
      </x:c>
    </x:row>
    <x:row r="32" ht="32" customHeight="1">
      <x:c r="A32" s="80" t="str">
        <x:v>Indicador</x:v>
      </x:c>
      <x:c r="B32" s="80" t="str">
        <x:v>Aspecto</x:v>
      </x:c>
      <x:c r="C32" s="80" t="str">
        <x:v>Información documentada</x:v>
      </x:c>
      <x:c r="D32" s="80" t="str">
        <x:v>Qué permite concluir</x:v>
      </x:c>
      <x:c r="E32" s="80" t="str">
        <x:v>Documento y página PDF</x:v>
      </x:c>
      <x:c r="F32" s="83" t="str">
        <x:v>Puntos</x:v>
      </x:c>
    </x:row>
    <x:row r="33" ht="72" customHeight="1">
      <x:c r="A33" s="79" t="str">
        <x:v>2.7.1</x:v>
      </x:c>
      <x:c r="B33" s="79" t="str">
        <x:v>Diagnóstico de desigualdades</x:v>
      </x:c>
      <x:c r="C33" s="79" t="str">
        <x:v>El diagnóstico presenta una pirámide de población por sexo y edad.</x:v>
      </x:c>
      <x:c r="D33" s="79" t="str">
        <x:v>Constan datos demográficos desagregados. No consta un análisis de desigualdades de género en el ámbito climático.</x:v>
      </x:c>
      <x:c r="E33" s="79" t="str">
        <x:v>Diagnóstico, p. 30.</x:v>
      </x:c>
      <x:c r="F33" s="83" t="n">
        <x:v>0</x:v>
      </x:c>
    </x:row>
    <x:row r="34" ht="72" customHeight="1">
      <x:c r="A34" s="75" t="str">
        <x:v>2.7.2</x:v>
      </x:c>
      <x:c r="B34" s="75" t="str">
        <x:v>Objetivos de igualdad</x:v>
      </x:c>
      <x:c r="C34" s="75" t="str">
        <x:v>Los objetivos y líneas de actuación revisados se orientan a mitigación, adaptación y energía.</x:v>
      </x:c>
      <x:c r="D34" s="75" t="str">
        <x:v>No constan objetivos explícitos de igualdad derivados de un diagnóstico de género.</x:v>
      </x:c>
      <x:c r="E34" s="75" t="str">
        <x:v>Plan de acción: objetivos y líneas estratégicas.</x:v>
      </x:c>
      <x:c r="F34" s="83" t="n">
        <x:v>0</x:v>
      </x:c>
    </x:row>
    <x:row r="35" ht="72" customHeight="1">
      <x:c r="A35" s="79" t="str">
        <x:v>2.7.3</x:v>
      </x:c>
      <x:c r="B35" s="79" t="str">
        <x:v>Acciones de igualdad</x:v>
      </x:c>
      <x:c r="C35" s="79" t="str">
        <x:v>Se revisaron las medidas del plan y las fichas de sus anexos.</x:v>
      </x:c>
      <x:c r="D35" s="79" t="str">
        <x:v>No consta una acción explícita de igualdad. Una medida ambiental de beneficio general no basta para acreditarla.</x:v>
      </x:c>
      <x:c r="E35" s="79" t="str">
        <x:v>Plan de acción; anexos I y II.</x:v>
      </x:c>
      <x:c r="F35" s="83" t="n">
        <x:v>0</x:v>
      </x:c>
    </x:row>
    <x:row r="36" ht="72" customHeight="1">
      <x:c r="A36" s="75" t="str">
        <x:v>2.7.4</x:v>
      </x:c>
      <x:c r="B36" s="75" t="str">
        <x:v>Variables por sexo e indicadores de género</x:v>
      </x:c>
      <x:c r="C36" s="75" t="str">
        <x:v>El seguimiento incluye emisiones, energía, ejecución de acciones y presupuesto. La evaluación de 2024 es una síntesis de una página.</x:v>
      </x:c>
      <x:c r="D36" s="75" t="str">
        <x:v>No constan variables por sexo ni indicadores de género en el sistema de seguimiento revisado.</x:v>
      </x:c>
      <x:c r="E36" s="75" t="str">
        <x:v>Plan de acción, pp. 34–44; evaluación 2024, p. 1.</x:v>
      </x:c>
      <x:c r="F36" s="83" t="n">
        <x:v>0</x:v>
      </x:c>
    </x:row>
    <x:row r="37" ht="72" customHeight="1">
      <x:c r="A37" s="79" t="str">
        <x:v>2.7.5</x:v>
      </x:c>
      <x:c r="B37" s="79" t="str">
        <x:v>Igualdad en diagnóstico y diseño</x:v>
      </x:c>
      <x:c r="C37" s="79" t="str">
        <x:v>Los documentos no identifican a la técnica o unidad de igualdad en la elaboración del diagnóstico o el diseño del conjunto del PIMACC.</x:v>
      </x:c>
      <x:c r="D37" s="79" t="str">
        <x:v>No consta. La información de entrevista sobre intervenciones en proyectos concretos no se extiende al plan completo.</x:v>
      </x:c>
      <x:c r="E37" s="79" t="str">
        <x:v>Diagnóstico y plan de acción; anexo I, pp. 2–3.</x:v>
      </x:c>
      <x:c r="F37" s="83" t="n">
        <x:v>0</x:v>
      </x:c>
    </x:row>
    <x:row r="38" ht="72" customHeight="1">
      <x:c r="A38" s="75" t="str">
        <x:v>2.7.6</x:v>
      </x:c>
      <x:c r="B38" s="75" t="str">
        <x:v>Igualdad en seguimiento y evaluación</x:v>
      </x:c>
      <x:c r="C38" s="75" t="str">
        <x:v>El anexo I prevé coordinación y seguimiento municipal, sin identificar especialistas o unidad de igualdad en esas funciones.</x:v>
      </x:c>
      <x:c r="D38" s="75" t="str">
        <x:v>No consta la participación de Igualdad en seguimiento y evaluación.</x:v>
      </x:c>
      <x:c r="E38" s="75" t="str">
        <x:v>Anexo I, pp. 2–3; evaluación 2024, p. 1.</x:v>
      </x:c>
      <x:c r="F38" s="83" t="n">
        <x:v>0</x:v>
      </x:c>
    </x:row>
    <x:row r="39" ht="32" customHeight="1">
      <x:c r="A39" s="67" t="str">
        <x:v>Accesibilidad · Tomo I, 2022</x:v>
      </x:c>
      <x:c r="B39" s="67" t="str">
        <x:v>Accesibilidad · Tomo I, 2022</x:v>
      </x:c>
      <x:c r="C39" s="67" t="str">
        <x:v>Accesibilidad · Tomo I, 2022</x:v>
      </x:c>
      <x:c r="D39" s="67" t="str">
        <x:v>Accesibilidad · Tomo I, 2022</x:v>
      </x:c>
      <x:c r="E39" s="67" t="str">
        <x:v>Accesibilidad · Tomo I, 2022</x:v>
      </x:c>
    </x:row>
    <x:row r="40" ht="32" customHeight="1">
      <x:c r="A40" s="80" t="str">
        <x:v>Indicador</x:v>
      </x:c>
      <x:c r="B40" s="80" t="str">
        <x:v>Aspecto</x:v>
      </x:c>
      <x:c r="C40" s="80" t="str">
        <x:v>Información documentada</x:v>
      </x:c>
      <x:c r="D40" s="80" t="str">
        <x:v>Qué permite concluir</x:v>
      </x:c>
      <x:c r="E40" s="80" t="str">
        <x:v>Documento y página PDF</x:v>
      </x:c>
      <x:c r="F40" s="83" t="str">
        <x:v>Puntos</x:v>
      </x:c>
    </x:row>
    <x:row r="41" ht="72" customHeight="1">
      <x:c r="A41" s="79" t="str">
        <x:v>2.7.1</x:v>
      </x:c>
      <x:c r="B41" s="79" t="str">
        <x:v>Diagnóstico de desigualdades</x:v>
      </x:c>
      <x:c r="C41" s="79" t="str">
        <x:v>El marco general reconoce colectivos de diferentes edades y géneros y menciona a embarazadas y personas que acompañan a menores.</x:v>
      </x:c>
      <x:c r="D41" s="79" t="str">
        <x:v>Constan referencias a necesidades diversas. No consta un diagnóstico municipal de desigualdades entre mujeres y hombres.</x:v>
      </x:c>
      <x:c r="E41" s="79" t="str">
        <x:v>Documento 38, pp. 7, 15 y 19.</x:v>
      </x:c>
      <x:c r="F41" s="83" t="n">
        <x:v>0</x:v>
      </x:c>
    </x:row>
    <x:row r="42" ht="72" customHeight="1">
      <x:c r="A42" s="75" t="str">
        <x:v>2.7.2</x:v>
      </x:c>
      <x:c r="B42" s="75" t="str">
        <x:v>Objetivos de igualdad</x:v>
      </x:c>
      <x:c r="C42" s="75" t="str">
        <x:v>El objeto es eliminar barreras y mejorar la accesibilidad. La igualdad de oportunidades aparece en el contexto de la discapacidad.</x:v>
      </x:c>
      <x:c r="D42" s="75" t="str">
        <x:v>No consta un objetivo específico de igualdad de mujeres y hombres en el tomo consultado.</x:v>
      </x:c>
      <x:c r="E42" s="75" t="str">
        <x:v>Documento 38, pp. 3, 7–9.</x:v>
      </x:c>
      <x:c r="F42" s="83" t="n">
        <x:v>0</x:v>
      </x:c>
    </x:row>
    <x:row r="43" ht="72" customHeight="1">
      <x:c r="A43" s="79" t="str">
        <x:v>2.7.3</x:v>
      </x:c>
      <x:c r="B43" s="79" t="str">
        <x:v>Acciones de igualdad</x:v>
      </x:c>
      <x:c r="C43" s="79" t="str">
        <x:v>Se prevé accesibilidad de los aseos de ambos sexos y se reconocen necesidades durante el embarazo y el acompañamiento.</x:v>
      </x:c>
      <x:c r="D43" s="79" t="str">
        <x:v>Constan criterios de accesibilidad. No consta su formulación como acciones para corregir desigualdades de género.</x:v>
      </x:c>
      <x:c r="E43" s="79" t="str">
        <x:v>Documento 38, pp. 15, 19 y 32.</x:v>
      </x:c>
      <x:c r="F43" s="83" t="n">
        <x:v>0</x:v>
      </x:c>
    </x:row>
    <x:row r="44" ht="72" customHeight="1">
      <x:c r="A44" s="75" t="str">
        <x:v>2.7.4</x:v>
      </x:c>
      <x:c r="B44" s="75" t="str">
        <x:v>Variables por sexo e indicadores de género</x:v>
      </x:c>
      <x:c r="C44" s="75" t="str">
        <x:v>El documento describe la metodología de accesibilidad. En la documentación revisada no se identifican variables por sexo ni indicadores de género para el seguimiento.</x:v>
      </x:c>
      <x:c r="D44" s="75" t="str">
        <x:v>No constan variables por sexo ni indicadores de género en el material disponible.</x:v>
      </x:c>
      <x:c r="E44" s="75" t="str">
        <x:v>Documento 38, apartado 5, pp. 37–41.</x:v>
      </x:c>
      <x:c r="F44" s="83" t="n">
        <x:v>0</x:v>
      </x:c>
    </x:row>
    <x:row r="45" ht="72" customHeight="1">
      <x:c r="A45" s="79" t="str">
        <x:v>2.7.5</x:v>
      </x:c>
      <x:c r="B45" s="79" t="str">
        <x:v>Igualdad en diagnóstico y diseño</x:v>
      </x:c>
      <x:c r="C45" s="79" t="str">
        <x:v>Se identifica un equipo redactor especializado en geografía, ingeniería y arquitectura. No se identifica participación de la unidad o especialistas en igualdad.</x:v>
      </x:c>
      <x:c r="D45" s="79" t="str">
        <x:v>No consta participación de Igualdad en diagnóstico o diseño.</x:v>
      </x:c>
      <x:c r="E45" s="79" t="str">
        <x:v>Documento 38, p. 3.</x:v>
      </x:c>
      <x:c r="F45" s="83" t="n">
        <x:v>0</x:v>
      </x:c>
    </x:row>
    <x:row r="46" ht="72" customHeight="1">
      <x:c r="A46" s="75" t="str">
        <x:v>2.7.6</x:v>
      </x:c>
      <x:c r="B46" s="75" t="str">
        <x:v>Igualdad en seguimiento y evaluación</x:v>
      </x:c>
      <x:c r="C46" s="75" t="str">
        <x:v>El tomo general contempla seguimiento, pero no documenta la participación de Igualdad en él.</x:v>
      </x:c>
      <x:c r="D46" s="75" t="str">
        <x:v>No consta esa participación.</x:v>
      </x:c>
      <x:c r="E46" s="75" t="str">
        <x:v>Documento 38, p. 7 y apartado 5.</x:v>
      </x:c>
      <x:c r="F46" s="83" t="n">
        <x:v>0</x:v>
      </x:c>
    </x:row>
    <x:row r="47" ht="32" customHeight="1">
      <x:c r="A47" s="67" t="str">
        <x:v>Cultura · 2019–2023</x:v>
      </x:c>
      <x:c r="B47" s="67" t="str">
        <x:v>Cultura · 2019–2023</x:v>
      </x:c>
      <x:c r="C47" s="67" t="str">
        <x:v>Cultura · 2019–2023</x:v>
      </x:c>
      <x:c r="D47" s="67" t="str">
        <x:v>Cultura · 2019–2023</x:v>
      </x:c>
      <x:c r="E47" s="67" t="str">
        <x:v>Cultura · 2019–2023</x:v>
      </x:c>
    </x:row>
    <x:row r="48" ht="32" customHeight="1">
      <x:c r="A48" s="80" t="str">
        <x:v>Indicador</x:v>
      </x:c>
      <x:c r="B48" s="80" t="str">
        <x:v>Aspecto</x:v>
      </x:c>
      <x:c r="C48" s="80" t="str">
        <x:v>Información documentada</x:v>
      </x:c>
      <x:c r="D48" s="80" t="str">
        <x:v>Qué permite concluir</x:v>
      </x:c>
      <x:c r="E48" s="80" t="str">
        <x:v>Documento y página PDF</x:v>
      </x:c>
      <x:c r="F48" s="83" t="str">
        <x:v>Puntos</x:v>
      </x:c>
    </x:row>
    <x:row r="49" ht="72" customHeight="1">
      <x:c r="A49" s="79" t="str">
        <x:v>2.7.1</x:v>
      </x:c>
      <x:c r="B49" s="79" t="str">
        <x:v>Diagnóstico de desigualdades</x:v>
      </x:c>
      <x:c r="C49" s="79" t="str">
        <x:v>El mapa cultural incluye un proyecto sobre la historia de las mujeres de Gernika. No se identifica un análisis de desigualdades de género.</x:v>
      </x:c>
      <x:c r="D49" s="79" t="str">
        <x:v>Consta visibilización de las mujeres. No consta el diagnóstico exigido.</x:v>
      </x:c>
      <x:c r="E49" s="79" t="str">
        <x:v>Documento EU, p. 27; sinopsis ES, p. 8.</x:v>
      </x:c>
      <x:c r="F49" s="83" t="n">
        <x:v>0</x:v>
      </x:c>
    </x:row>
    <x:row r="50" ht="72" customHeight="1">
      <x:c r="A50" s="75" t="str">
        <x:v>2.7.2</x:v>
      </x:c>
      <x:c r="B50" s="75" t="str">
        <x:v>Objetivos de igualdad</x:v>
      </x:c>
      <x:c r="C50" s="75" t="str">
        <x:v>La sección de Agenda 2030 menciona expresamente la igualdad de género entre los objetivos a los que puede contribuir la cultura.</x:v>
      </x:c>
      <x:c r="D50" s="75" t="str">
        <x:v>Parcialmente realizado, 0,5. Consta la igualdad de género como objetivo de referencia en Agenda 2030, aunque no se concreta en un objetivo municipal vinculado a un diagnóstico.</x:v>
      </x:c>
      <x:c r="E50" s="75" t="str">
        <x:v>Documento EU, p. 36.</x:v>
      </x:c>
      <x:c r="F50" s="83" t="n">
        <x:v>0.5</x:v>
      </x:c>
    </x:row>
    <x:row r="51" ht="72" customHeight="1">
      <x:c r="A51" s="79" t="str">
        <x:v>2.7.3</x:v>
      </x:c>
      <x:c r="B51" s="79" t="str">
        <x:v>Acciones de igualdad</x:v>
      </x:c>
      <x:c r="C51" s="79" t="str">
        <x:v>El mapa cultural incluye el proyecto sobre la historia de las mujeres de Gernika. El cuadro de desarrollo incorpora talleres de cultura y clima vinculados a Agenda 2030, con mención a igualdad.</x:v>
      </x:c>
      <x:c r="D51" s="79" t="str">
        <x:v>Parcialmente realizado, 0,5. Constan referencias a igualdad en actuaciones, sin desarrollo suficiente para considerar integrado plenamente el requisito.</x:v>
      </x:c>
      <x:c r="E51" s="79" t="str">
        <x:v>Documento EU, pp. 27 y 47; sinopsis ES, pp. 8 y 17.</x:v>
      </x:c>
      <x:c r="F51" s="83" t="n">
        <x:v>0.5</x:v>
      </x:c>
    </x:row>
    <x:row r="52" ht="72" customHeight="1">
      <x:c r="A52" s="75" t="str">
        <x:v>2.7.4</x:v>
      </x:c>
      <x:c r="B52" s="75" t="str">
        <x:v>Variables por sexo e indicadores de género</x:v>
      </x:c>
      <x:c r="C52" s="75" t="str">
        <x:v>El cuadro de desarrollo presenta porcentajes de ejecución. No identifica variables por sexo o indicadores de género.</x:v>
      </x:c>
      <x:c r="D52" s="75" t="str">
        <x:v>No consta el requisito en el seguimiento documentado.</x:v>
      </x:c>
      <x:c r="E52" s="75" t="str">
        <x:v>Documento EU, pp. 45–50.</x:v>
      </x:c>
      <x:c r="F52" s="83" t="n">
        <x:v>0</x:v>
      </x:c>
    </x:row>
    <x:row r="53" ht="72" customHeight="1">
      <x:c r="A53" s="79" t="str">
        <x:v>2.7.5</x:v>
      </x:c>
      <x:c r="B53" s="79" t="str">
        <x:v>Igualdad en diagnóstico y diseño</x:v>
      </x:c>
      <x:c r="C53" s="79" t="str">
        <x:v>El anexo VI menciona colaboración de la concejalía de Igualdad y Participación en Gernika Silver Living Lab. El inventario cultural incluye asociaciones de mujeres, AIURI y EMAKIDE. Su inclusión no acredita participación en el diseño del plan.</x:v>
      </x:c>
      <x:c r="D53" s="79" t="str">
        <x:v>Consta colaboración en ese proyecto. No consta intervención de la técnica, unidad o especialistas en igualdad en el diagnóstico o diseño del plan.</x:v>
      </x:c>
      <x:c r="E53" s="79" t="str">
        <x:v>Documento EU, pp. 63 y 70; participantes del plan, pp. 12–13.</x:v>
      </x:c>
      <x:c r="F53" s="83" t="n">
        <x:v>0</x:v>
      </x:c>
    </x:row>
    <x:row r="54" ht="72" customHeight="1">
      <x:c r="A54" s="75" t="str">
        <x:v>2.7.6</x:v>
      </x:c>
      <x:c r="B54" s="75" t="str">
        <x:v>Igualdad en seguimiento y evaluación</x:v>
      </x:c>
      <x:c r="C54" s="75" t="str">
        <x:v>El plan describe órganos culturales y seguimiento de proyectos. No identifica especialistas o unidad de igualdad en la evaluación del plan.</x:v>
      </x:c>
      <x:c r="D54" s="75" t="str">
        <x:v>No consta esa participación.</x:v>
      </x:c>
      <x:c r="E54" s="75" t="str">
        <x:v>Documento EU, pp. 12–13 y 45–50.</x:v>
      </x:c>
      <x:c r="F54" s="83" t="n">
        <x:v>0</x:v>
      </x:c>
    </x:row>
    <x:row r="55" ht="32" customHeight="1">
      <x:c r="A55" s="67" t="str">
        <x:v>Turismo · 2022–2025</x:v>
      </x:c>
      <x:c r="B55" s="67" t="str">
        <x:v>Turismo · 2022–2025</x:v>
      </x:c>
      <x:c r="C55" s="67" t="str">
        <x:v>Turismo · 2022–2025</x:v>
      </x:c>
      <x:c r="D55" s="67" t="str">
        <x:v>Turismo · 2022–2025</x:v>
      </x:c>
      <x:c r="E55" s="67" t="str">
        <x:v>Turismo · 2022–2025</x:v>
      </x:c>
    </x:row>
    <x:row r="56" ht="32" customHeight="1">
      <x:c r="A56" s="80" t="str">
        <x:v>Indicador</x:v>
      </x:c>
      <x:c r="B56" s="80" t="str">
        <x:v>Aspecto</x:v>
      </x:c>
      <x:c r="C56" s="80" t="str">
        <x:v>Información documentada</x:v>
      </x:c>
      <x:c r="D56" s="80" t="str">
        <x:v>Qué permite concluir</x:v>
      </x:c>
      <x:c r="E56" s="80" t="str">
        <x:v>Documento y página PDF</x:v>
      </x:c>
      <x:c r="F56" s="83" t="str">
        <x:v>Puntos</x:v>
      </x:c>
    </x:row>
    <x:row r="57" ht="72" customHeight="1">
      <x:c r="A57" s="79" t="str">
        <x:v>2.7.1</x:v>
      </x:c>
      <x:c r="B57" s="79" t="str">
        <x:v>Diagnóstico de desigualdades</x:v>
      </x:c>
      <x:c r="C57" s="79" t="str">
        <x:v>La página oficial acredita la existencia del plan, pero no se ha recuperado el documento completo.</x:v>
      </x:c>
      <x:c r="D57" s="79" t="str">
        <x:v>No consta en la información disponible.</x:v>
      </x:c>
      <x:c r="E57" s="79" t="str">
        <x:v>https://gernikainfo.eus/prepara-tu-viaje/gernika-destino-sostenible/</x:v>
      </x:c>
      <x:c r="F57" s="83" t="n">
        <x:v>0</x:v>
      </x:c>
    </x:row>
    <x:row r="58" ht="72" customHeight="1">
      <x:c r="A58" s="75" t="str">
        <x:v>2.7.2</x:v>
      </x:c>
      <x:c r="B58" s="75" t="str">
        <x:v>Objetivos de igualdad</x:v>
      </x:c>
      <x:c r="C58" s="75" t="str">
        <x:v>La página oficial acredita la existencia del plan, pero no se ha recuperado el documento completo.</x:v>
      </x:c>
      <x:c r="D58" s="75" t="str">
        <x:v>No consta en la información disponible.</x:v>
      </x:c>
      <x:c r="E58" s="75" t="str">
        <x:v>https://gernikainfo.eus/prepara-tu-viaje/gernika-destino-sostenible/</x:v>
      </x:c>
      <x:c r="F58" s="83" t="n">
        <x:v>0</x:v>
      </x:c>
    </x:row>
    <x:row r="59" ht="72" customHeight="1">
      <x:c r="A59" s="79" t="str">
        <x:v>2.7.3</x:v>
      </x:c>
      <x:c r="B59" s="79" t="str">
        <x:v>Acciones de igualdad</x:v>
      </x:c>
      <x:c r="C59" s="79" t="str">
        <x:v>La página oficial acredita la existencia del plan, pero no se ha recuperado el documento completo.</x:v>
      </x:c>
      <x:c r="D59" s="79" t="str">
        <x:v>No consta en la información disponible.</x:v>
      </x:c>
      <x:c r="E59" s="79" t="str">
        <x:v>https://gernikainfo.eus/prepara-tu-viaje/gernika-destino-sostenible/</x:v>
      </x:c>
      <x:c r="F59" s="83" t="n">
        <x:v>0</x:v>
      </x:c>
    </x:row>
    <x:row r="60" ht="72" customHeight="1">
      <x:c r="A60" s="75" t="str">
        <x:v>2.7.4</x:v>
      </x:c>
      <x:c r="B60" s="75" t="str">
        <x:v>Variables por sexo e indicadores de género</x:v>
      </x:c>
      <x:c r="C60" s="75" t="str">
        <x:v>La página oficial indica que hay seguimiento cuantitativo, sin publicar las variables necesarias para comprobar la perspectiva de género.</x:v>
      </x:c>
      <x:c r="D60" s="75" t="str">
        <x:v>No consta en la información disponible.</x:v>
      </x:c>
      <x:c r="E60" s="75" t="str">
        <x:v>https://gernikainfo.eus/prepara-tu-viaje/gernika-destino-sostenible/</x:v>
      </x:c>
      <x:c r="F60" s="83" t="n">
        <x:v>0</x:v>
      </x:c>
    </x:row>
    <x:row r="61" ht="72" customHeight="1">
      <x:c r="A61" s="79" t="str">
        <x:v>2.7.5</x:v>
      </x:c>
      <x:c r="B61" s="79" t="str">
        <x:v>Igualdad en diagnóstico y diseño</x:v>
      </x:c>
      <x:c r="C61" s="79" t="str">
        <x:v>La página oficial acredita la existencia del plan, pero no se ha recuperado el documento completo.</x:v>
      </x:c>
      <x:c r="D61" s="79" t="str">
        <x:v>No consta en la información disponible.</x:v>
      </x:c>
      <x:c r="E61" s="79" t="str">
        <x:v>https://gernikainfo.eus/prepara-tu-viaje/gernika-destino-sostenible/</x:v>
      </x:c>
      <x:c r="F61" s="83" t="n">
        <x:v>0</x:v>
      </x:c>
    </x:row>
    <x:row r="62" ht="72" customHeight="1">
      <x:c r="A62" s="75" t="str">
        <x:v>2.7.6</x:v>
      </x:c>
      <x:c r="B62" s="75" t="str">
        <x:v>Igualdad en seguimiento y evaluación</x:v>
      </x:c>
      <x:c r="C62" s="75" t="str">
        <x:v>La página oficial acredita la existencia del plan, pero no se ha recuperado el documento completo.</x:v>
      </x:c>
      <x:c r="D62" s="75" t="str">
        <x:v>No consta en la información disponible.</x:v>
      </x:c>
      <x:c r="E62" s="75" t="str">
        <x:v>https://gernikainfo.eus/prepara-tu-viaje/gernika-destino-sostenible/</x:v>
      </x:c>
      <x:c r="F62" s="83" t="n">
        <x:v>0</x:v>
      </x:c>
    </x:row>
    <x:row r="63" ht="32" customHeight="1">
      <x:c r="A63" s="67" t="str">
        <x:v>Euskera · ESEP 2024–2027</x:v>
      </x:c>
      <x:c r="B63" s="67" t="str">
        <x:v>Euskera · ESEP 2024–2027</x:v>
      </x:c>
      <x:c r="C63" s="67" t="str">
        <x:v>Euskera · ESEP 2024–2027</x:v>
      </x:c>
      <x:c r="D63" s="67" t="str">
        <x:v>Euskera · ESEP 2024–2027</x:v>
      </x:c>
      <x:c r="E63" s="67" t="str">
        <x:v>Euskera · ESEP 2024–2027</x:v>
      </x:c>
    </x:row>
    <x:row r="64" ht="32" customHeight="1">
      <x:c r="A64" s="80" t="str">
        <x:v>Indicador</x:v>
      </x:c>
      <x:c r="B64" s="80" t="str">
        <x:v>Aspecto</x:v>
      </x:c>
      <x:c r="C64" s="80" t="str">
        <x:v>Información documentada</x:v>
      </x:c>
      <x:c r="D64" s="80" t="str">
        <x:v>Qué permite concluir</x:v>
      </x:c>
      <x:c r="E64" s="80" t="str">
        <x:v>Documento y página PDF</x:v>
      </x:c>
      <x:c r="F64" s="83" t="str">
        <x:v>Puntos</x:v>
      </x:c>
    </x:row>
    <x:row r="65" ht="72" customHeight="1">
      <x:c r="A65" s="79" t="str">
        <x:v>2.7.1</x:v>
      </x:c>
      <x:c r="B65" s="79" t="str">
        <x:v>Diagnóstico de desigualdades</x:v>
      </x:c>
      <x:c r="C65" s="79" t="str">
        <x:v>La página oficial acredita la existencia y aprobación del plan. La antigua dirección del PDF aprobado no permite recuperar el texto completo.</x:v>
      </x:c>
      <x:c r="D65" s="79" t="str">
        <x:v>No consta en la información disponible.</x:v>
      </x:c>
      <x:c r="E65" s="79" t="str">
        <x:v>https://gernika-lumo-euskaraz.eus/gernika-lumoko-euskara-zerbitzua/</x:v>
      </x:c>
      <x:c r="F65" s="83" t="n">
        <x:v>0</x:v>
      </x:c>
    </x:row>
    <x:row r="66" ht="72" customHeight="1">
      <x:c r="A66" s="75" t="str">
        <x:v>2.7.2</x:v>
      </x:c>
      <x:c r="B66" s="75" t="str">
        <x:v>Objetivos de igualdad</x:v>
      </x:c>
      <x:c r="C66" s="75" t="str">
        <x:v>La página oficial acredita la existencia y aprobación del plan. La antigua dirección del PDF aprobado no permite recuperar el texto completo.</x:v>
      </x:c>
      <x:c r="D66" s="75" t="str">
        <x:v>No consta en la información disponible.</x:v>
      </x:c>
      <x:c r="E66" s="75" t="str">
        <x:v>https://gernika-lumo-euskaraz.eus/gernika-lumoko-euskara-zerbitzua/</x:v>
      </x:c>
      <x:c r="F66" s="83" t="n">
        <x:v>0</x:v>
      </x:c>
    </x:row>
    <x:row r="67" ht="72" customHeight="1">
      <x:c r="A67" s="79" t="str">
        <x:v>2.7.3</x:v>
      </x:c>
      <x:c r="B67" s="79" t="str">
        <x:v>Acciones de igualdad</x:v>
      </x:c>
      <x:c r="C67" s="79" t="str">
        <x:v>La página oficial acredita la existencia y aprobación del plan. La antigua dirección del PDF aprobado no permite recuperar el texto completo.</x:v>
      </x:c>
      <x:c r="D67" s="79" t="str">
        <x:v>No consta en la información disponible.</x:v>
      </x:c>
      <x:c r="E67" s="79" t="str">
        <x:v>https://gernika-lumo-euskaraz.eus/gernika-lumoko-euskara-zerbitzua/</x:v>
      </x:c>
      <x:c r="F67" s="83" t="n">
        <x:v>0</x:v>
      </x:c>
    </x:row>
    <x:row r="68" ht="72" customHeight="1">
      <x:c r="A68" s="75" t="str">
        <x:v>2.7.4</x:v>
      </x:c>
      <x:c r="B68" s="75" t="str">
        <x:v>Variables por sexo e indicadores de género</x:v>
      </x:c>
      <x:c r="C68" s="75" t="str">
        <x:v>La página oficial acredita la existencia y aprobación del plan. La antigua dirección del PDF aprobado no permite recuperar el texto completo.</x:v>
      </x:c>
      <x:c r="D68" s="75" t="str">
        <x:v>No consta en la información disponible.</x:v>
      </x:c>
      <x:c r="E68" s="75" t="str">
        <x:v>https://gernika-lumo-euskaraz.eus/gernika-lumoko-euskara-zerbitzua/</x:v>
      </x:c>
      <x:c r="F68" s="83" t="n">
        <x:v>0</x:v>
      </x:c>
    </x:row>
    <x:row r="69" ht="72" customHeight="1">
      <x:c r="A69" s="79" t="str">
        <x:v>2.7.5</x:v>
      </x:c>
      <x:c r="B69" s="79" t="str">
        <x:v>Igualdad en diagnóstico y diseño</x:v>
      </x:c>
      <x:c r="C69" s="79" t="str">
        <x:v>La página oficial acredita la existencia y aprobación del plan. La antigua dirección del PDF aprobado no permite recuperar el texto completo.</x:v>
      </x:c>
      <x:c r="D69" s="79" t="str">
        <x:v>No consta en la información disponible.</x:v>
      </x:c>
      <x:c r="E69" s="79" t="str">
        <x:v>https://gernika-lumo-euskaraz.eus/gernika-lumoko-euskara-zerbitzua/</x:v>
      </x:c>
      <x:c r="F69" s="83" t="n">
        <x:v>0</x:v>
      </x:c>
    </x:row>
    <x:row r="70" ht="72" customHeight="1">
      <x:c r="A70" s="75" t="str">
        <x:v>2.7.6</x:v>
      </x:c>
      <x:c r="B70" s="75" t="str">
        <x:v>Igualdad en seguimiento y evaluación</x:v>
      </x:c>
      <x:c r="C70" s="75" t="str">
        <x:v>La página oficial acredita la existencia y aprobación del plan. La antigua dirección del PDF aprobado no permite recuperar el texto completo.</x:v>
      </x:c>
      <x:c r="D70" s="75" t="str">
        <x:v>No consta en la información disponible.</x:v>
      </x:c>
      <x:c r="E70" s="75" t="str">
        <x:v>https://gernika-lumo-euskaraz.eus/gernika-lumoko-euskara-zerbitzua/</x:v>
      </x:c>
      <x:c r="F70" s="83" t="n">
        <x:v>0</x:v>
      </x:c>
    </x:row>
    <x:row r="71" ht="32" customHeight="1">
      <x:c r="A71" s="67" t="str">
        <x:v>Documentos y enlaces para contrastar las evidencias</x:v>
      </x:c>
      <x:c r="B71" s="67" t="str">
        <x:v>Documentos y enlaces para contrastar las evidencias</x:v>
      </x:c>
      <x:c r="C71" s="67" t="str">
        <x:v>Documentos y enlaces para contrastar las evidencias</x:v>
      </x:c>
      <x:c r="D71" s="67" t="str">
        <x:v>Documentos y enlaces para contrastar las evidencias</x:v>
      </x:c>
      <x:c r="E71" s="67" t="str">
        <x:v>Documentos y enlaces para contrastar las evidencias</x:v>
      </x:c>
    </x:row>
    <x:row r="72" ht="30" customHeight="1">
      <x:c r="A72" s="75" t="str">
        <x:v>Referencia</x:v>
      </x:c>
      <x:c r="B72" s="75" t="str">
        <x:v>Documento</x:v>
      </x:c>
      <x:c r="C72" s="75" t="str">
        <x:v>Archivo consultado / alcance</x:v>
      </x:c>
      <x:c r="D72" s="75" t="str">
        <x:v>Páginas</x:v>
      </x:c>
      <x:c r="E72" s="75" t="str">
        <x:v>URL de origen</x:v>
      </x:c>
    </x:row>
    <x:row r="73" ht="68" customHeight="1">
      <x:c r="A73" s="79" t="str">
        <x:v>31</x:v>
      </x:c>
      <x:c r="B73" s="79" t="str">
        <x:v>Antifraude</x:v>
      </x:c>
      <x:c r="C73" s="79" t="str">
        <x:v>Plan Antifraude 20230524.pdf</x:v>
      </x:c>
      <x:c r="D73" s="79" t="n">
        <x:v>58</x:v>
      </x:c>
      <x:c r="E73" s="79" t="str">
        <x:v>Documentación municipal recibida</x:v>
      </x:c>
    </x:row>
    <x:row r="74" ht="68" customHeight="1">
      <x:c r="A74" s="75" t="str">
        <x:v>32</x:v>
      </x:c>
      <x:c r="B74" s="75" t="str">
        <x:v>Antifraude</x:v>
      </x:c>
      <x:c r="C74" s="75" t="str">
        <x:v>Declaración institucional del Plan Antifraude.pdf</x:v>
      </x:c>
      <x:c r="D74" s="75" t="n">
        <x:v>3</x:v>
      </x:c>
      <x:c r="E74" s="75" t="str">
        <x:v>Documentación municipal recibida</x:v>
      </x:c>
    </x:row>
    <x:row r="75" ht="68" customHeight="1">
      <x:c r="A75" s="79" t="str">
        <x:v>33</x:v>
      </x:c>
      <x:c r="B75" s="79" t="str">
        <x:v>Antifraude</x:v>
      </x:c>
      <x:c r="C75" s="79" t="str">
        <x:v>Decreto de Alcaldía del Plan Antifraude.pdf</x:v>
      </x:c>
      <x:c r="D75" s="79" t="n">
        <x:v>5</x:v>
      </x:c>
      <x:c r="E75" s="79" t="str">
        <x:v>Documentación municipal recibida</x:v>
      </x:c>
    </x:row>
    <x:row r="76" ht="68" customHeight="1">
      <x:c r="A76" s="75" t="str">
        <x:v>CL1</x:v>
      </x:c>
      <x:c r="B76" s="75" t="str">
        <x:v>PIMACC</x:v>
      </x:c>
      <x:c r="C76" s="75" t="str">
        <x:v>Diagnóstico</x:v>
      </x:c>
      <x:c r="D76" s="75" t="n">
        <x:v>104</x:v>
      </x:c>
      <x:c r="E76" s="75" t="str">
        <x:v>https://www.gernika-lumo.eus/es-ES/Servicios/Medio-Ambiente/pimacc_2023/01-diagnostico-cas.pdf</x:v>
      </x:c>
    </x:row>
    <x:row r="77" ht="68" customHeight="1">
      <x:c r="A77" s="79" t="str">
        <x:v>CL2</x:v>
      </x:c>
      <x:c r="B77" s="79" t="str">
        <x:v>PIMACC</x:v>
      </x:c>
      <x:c r="C77" s="79" t="str">
        <x:v>Plan de acción</x:v>
      </x:c>
      <x:c r="D77" s="79" t="n">
        <x:v>49</x:v>
      </x:c>
      <x:c r="E77" s="79" t="str">
        <x:v>https://www.gernika-lumo.eus/es-ES/Servicios/Medio-Ambiente/pimacc_2023/02-plan-accion-cas.pdf</x:v>
      </x:c>
    </x:row>
    <x:row r="78" ht="68" customHeight="1">
      <x:c r="A78" s="75" t="str">
        <x:v>CL3</x:v>
      </x:c>
      <x:c r="B78" s="75" t="str">
        <x:v>PIMACC</x:v>
      </x:c>
      <x:c r="C78" s="75" t="str">
        <x:v>Anexo I</x:v>
      </x:c>
      <x:c r="D78" s="75" t="n">
        <x:v>20</x:v>
      </x:c>
      <x:c r="E78" s="75" t="str">
        <x:v>https://www.gernika-lumo.eus/es-ES/Servicios/Medio-Ambiente/pimacc_2023/03-anexo-i-cas.PDF</x:v>
      </x:c>
    </x:row>
    <x:row r="79" ht="68" customHeight="1">
      <x:c r="A79" s="79" t="str">
        <x:v>CL4</x:v>
      </x:c>
      <x:c r="B79" s="79" t="str">
        <x:v>PIMACC</x:v>
      </x:c>
      <x:c r="C79" s="79" t="str">
        <x:v>Anexo II</x:v>
      </x:c>
      <x:c r="D79" s="79" t="n">
        <x:v>44</x:v>
      </x:c>
      <x:c r="E79" s="79" t="str">
        <x:v>https://www.gernika-lumo.eus/es-ES/Servicios/Medio-Ambiente/pimacc_2023/04-anexo-ii-cas.PDF</x:v>
      </x:c>
    </x:row>
    <x:row r="80" ht="68" customHeight="1">
      <x:c r="A80" s="75" t="str">
        <x:v>CL5</x:v>
      </x:c>
      <x:c r="B80" s="75" t="str">
        <x:v>PIMACC</x:v>
      </x:c>
      <x:c r="C80" s="75" t="str">
        <x:v>Evaluación 2024 (póster)</x:v>
      </x:c>
      <x:c r="D80" s="75" t="n">
        <x:v>1</x:v>
      </x:c>
      <x:c r="E80" s="75" t="str">
        <x:v>https://www.gernika-lumo.eus/es-ES/Servicios/Medio-Ambiente/evaluacion/01-evaluacion-poster-2024.pdf</x:v>
      </x:c>
    </x:row>
    <x:row r="81" ht="68" customHeight="1">
      <x:c r="A81" s="79" t="str">
        <x:v>38</x:v>
      </x:c>
      <x:c r="B81" s="79" t="str">
        <x:v>Accesibilidad</x:v>
      </x:c>
      <x:c r="C81" s="79" t="str">
        <x:v>Tomo I: Aspectos generales</x:v>
      </x:c>
      <x:c r="D81" s="79" t="n">
        <x:v>44</x:v>
      </x:c>
      <x:c r="E81" s="79" t="str">
        <x:v>Documentación municipal recibida</x:v>
      </x:c>
    </x:row>
    <x:row r="82" ht="68" customHeight="1">
      <x:c r="A82" s="75" t="str">
        <x:v>AC2</x:v>
      </x:c>
      <x:c r="B82" s="75" t="str">
        <x:v>Accesibilidad</x:v>
      </x:c>
      <x:c r="C82" s="75" t="str">
        <x:v>Anuncio de aprobación, BOB 11/12/2024</x:v>
      </x:c>
      <x:c r="D82" s="75" t="n">
        <x:v>1</x:v>
      </x:c>
      <x:c r="E82" s="75" t="str">
        <x:v>https://www.bizkaia.eus/lehendakaritza/Bao_bob/2024/12/11/II-6774_cas.pdf</x:v>
      </x:c>
    </x:row>
    <x:row r="83" ht="68" customHeight="1">
      <x:c r="A83" s="79" t="str">
        <x:v>CU1</x:v>
      </x:c>
      <x:c r="B83" s="79" t="str">
        <x:v>Cultura</x:v>
      </x:c>
      <x:c r="C83" s="79" t="str">
        <x:v>Sinopsis ES</x:v>
      </x:c>
      <x:c r="D83" s="79" t="n">
        <x:v>19</x:v>
      </x:c>
      <x:c r="E83" s="79" t="str">
        <x:v>https://kulturagernika-lumo.eus/wp-content/uploads/2021/02/PLAN-DE-CULTURA-2019-2023.pdf</x:v>
      </x:c>
    </x:row>
    <x:row r="84" ht="68" customHeight="1">
      <x:c r="A84" s="75" t="str">
        <x:v>CU2</x:v>
      </x:c>
      <x:c r="B84" s="75" t="str">
        <x:v>Cultura</x:v>
      </x:c>
      <x:c r="C84" s="75" t="str">
        <x:v>Documento EU con anexos</x:v>
      </x:c>
      <x:c r="D84" s="75" t="n">
        <x:v>71</x:v>
      </x:c>
      <x:c r="E84" s="75" t="str">
        <x:v>https://kulturagernika-lumo.eus/wp-content/uploads/2021/02/KULTURA-PLANA-2019-2023.pdf</x:v>
      </x:c>
    </x:row>
    <x:row r="85" ht="32" customHeight="1">
      <x:c r="A85" s="67" t="str">
        <x:v>Documentación no recuperada y límites de la búsqueda</x:v>
      </x:c>
      <x:c r="B85" s="67" t="str">
        <x:v>Documentación no recuperada y límites de la búsqueda</x:v>
      </x:c>
      <x:c r="C85" s="67" t="str">
        <x:v>Documentación no recuperada y límites de la búsqueda</x:v>
      </x:c>
      <x:c r="D85" s="67" t="str">
        <x:v>Documentación no recuperada y límites de la búsqueda</x:v>
      </x:c>
      <x:c r="E85" s="67" t="str">
        <x:v>Documentación no recuperada y límites de la búsqueda</x:v>
      </x:c>
    </x:row>
    <x:row r="86" ht="48" customHeight="1">
      <x:c r="A86" s="71" t="str">
        <x:v>Accesibilidad: se ha revisado el documento de 2022 y el anuncio de aprobación de 2024. Cultura: se ha recuperado el documento en euskera de 71 páginas, además de la sinopsis en castellano. La página oficial lo presenta como documento en elaboración.</x:v>
      </x:c>
      <x:c r="B86" s="71" t="str">
        <x:v>Accesibilidad: no se han recuperado los restantes tomos tras buscar el título en castellano y euskera, la fecha de 2022 y referencias a la aprobación. El anuncio de 2024 se ha descargado y leído. Cultura: se ha descargado y revisado el documento en euskera de 71 páginas; no se ha localizado una acreditación de aprobación definitiva.</x:v>
      </x:c>
      <x:c r="C86" s="71" t="str">
        <x:v>Accesibilidad: no se han recuperado los restantes tomos tras buscar el título en castellano y euskera, la fecha de 2022 y referencias a la aprobación. El anuncio de 2024 se ha descargado y leído. Cultura: se ha descargado y revisado el documento en euskera de 71 páginas; no se ha localizado una acreditación de aprobación definitiva.</x:v>
      </x:c>
      <x:c r="D86" s="71" t="str">
        <x:v>Accesibilidad: no se han recuperado los restantes tomos tras buscar el título en castellano y euskera, la fecha de 2022 y referencias a la aprobación. El anuncio de 2024 se ha descargado y leído. Cultura: se ha descargado y revisado el documento en euskera de 71 páginas; no se ha localizado una acreditación de aprobación definitiva.</x:v>
      </x:c>
      <x:c r="E86" s="71" t="str">
        <x:v>Accesibilidad: no se han recuperado los restantes tomos tras buscar el título en castellano y euskera, la fecha de 2022 y referencias a la aprobación. El anuncio de 2024 se ha descargado y leído. Cultura: se ha descargado y revisado el documento en euskera de 71 páginas; no se ha localizado una acreditación de aprobación definitiva.</x:v>
      </x:c>
    </x:row>
    <x:row r="87" ht="48" customHeight="1">
      <x:c r="A87" s="71" t="str">
        <x:v>Turismo: se ha contrastado la página oficial en castellano y euskera y buscado el título y periodo del plan. No se ha recuperado el texto completo. Euskera: se ha revisado la página del servicio municipal y buscado las versiones aprobada y borrador del ESEP. La dirección antigua está indexada, pero su descarga falla. Los fragmentos del buscador no se tratan como revisión del documento completo.</x:v>
      </x:c>
      <x:c r="B87" s="71" t="str">
        <x:v>Turismo: se ha contrastado la página oficial en castellano y euskera y buscado el título y periodo del plan. No se ha recuperado el texto completo. Euskera: se ha revisado la página del servicio municipal y buscado las versiones aprobada y borrador del ESEP. La dirección antigua está indexada, pero su descarga falla. Los fragmentos del buscador no se tratan como revisión del documento completo.</x:v>
      </x:c>
      <x:c r="C87" s="71" t="str">
        <x:v>Turismo: se ha contrastado la página oficial en castellano y euskera y buscado el título y periodo del plan. No se ha recuperado el texto completo. Euskera: se ha revisado la página del servicio municipal y buscado las versiones aprobada y borrador del ESEP. La dirección antigua está indexada, pero su descarga falla. Los fragmentos del buscador no se tratan como revisión del documento completo.</x:v>
      </x:c>
      <x:c r="D87" s="71" t="str">
        <x:v>Turismo: se ha contrastado la página oficial en castellano y euskera y buscado el título y periodo del plan. No se ha recuperado el texto completo. Euskera: se ha revisado la página del servicio municipal y buscado las versiones aprobada y borrador del ESEP. La dirección antigua está indexada, pero su descarga falla. Los fragmentos del buscador no se tratan como revisión del documento completo.</x:v>
      </x:c>
      <x:c r="E87" s="71" t="str">
        <x:v>Turismo: se ha contrastado la página oficial en castellano y euskera y buscado el título y periodo del plan. No se ha recuperado el texto completo. Euskera: se ha revisado la página del servicio municipal y buscado las versiones aprobada y borrador del ESEP. La dirección antigua está indexada, pero su descarga falla. Los fragmentos del buscador no se tratan como revisión del documento completo.</x:v>
      </x:c>
    </x:row>
    <x:row r="88" ht="92" customHeight="1">
      <x:c r="A88" s="75" t="str">
        <x:v>ESEP</x:v>
      </x:c>
      <x:c r="B88" s="75" t="str">
        <x:v>Dirección antigua, sin recuperación</x:v>
      </x:c>
      <x:c r="C88" s="75" t="str">
        <x:v>ESEP-2024-2027_ONARTUTAKOA(1).pdf</x:v>
      </x:c>
      <x:c r="D88" s="75" t="str">
        <x:v>No se ha podido leer el PDF completo.</x:v>
      </x:c>
      <x:c r="E88" s="75" t="str">
        <x:v>https://www.gernika-lumo-euskaraz.eus/fitxategiak/fckeditor/file/ESEP-2024-2027_ONARTUTAKOA%281%29.pdf</x:v>
      </x:c>
    </x:row>
    <x:row r="89" ht="48" customHeight="1">
      <x:c r="A89" s="71" t="str">
        <x:v>Los resultados de esta revisión sustituyen la valoración documental anterior de la variable 2.7. «No consta» se computa como no realizado por acuerdo expreso de Helena, porque el requisito debería estar documentado. Esta es una regla de puntuación para esta evaluación, no una prueba de inexistencia de la actuación ni una fórmula oficial de Emakunde. Las entrevistas se mantienen como fuente y las intervenciones en proyectos concretos no se extienden automáticamente al diseño del plan completo.</x:v>
      </x:c>
      <x:c r="B89" s="71" t="str">
        <x:v>Esta hoja amplía y corrige el alcance documental de las referencias previas a «únicos planes publicados» y «lectura íntegra» de Accesibilidad. No recalcula ni sustituye las valoraciones generales de la variable 2.7. Las entrevistas conservan su valor como fuente diferenciada y deberán contrastarse con estas evidencias para una eventual revisión de estados.</x:v>
      </x:c>
      <x:c r="C89" s="71" t="str">
        <x:v>Esta hoja amplía y corrige el alcance documental de las referencias previas a «únicos planes publicados» y «lectura íntegra» de Accesibilidad. No recalcula ni sustituye las valoraciones generales de la variable 2.7. Las entrevistas conservan su valor como fuente diferenciada y deberán contrastarse con estas evidencias para una eventual revisión de estados.</x:v>
      </x:c>
      <x:c r="D89" s="71" t="str">
        <x:v>Esta hoja amplía y corrige el alcance documental de las referencias previas a «únicos planes publicados» y «lectura íntegra» de Accesibilidad. No recalcula ni sustituye las valoraciones generales de la variable 2.7. Las entrevistas conservan su valor como fuente diferenciada y deberán contrastarse con estas evidencias para una eventual revisión de estados.</x:v>
      </x:c>
      <x:c r="E89" s="71" t="str">
        <x:v>Esta hoja amplía y corrige el alcance documental de las referencias previas a «únicos planes publicados» y «lectura íntegra» de Accesibilidad. No recalcula ni sustituye las valoraciones generales de la variable 2.7. Las entrevistas conservan su valor como fuente diferenciada y deberán contrastarse con estas evidencias para una eventual revisión de estados.</x:v>
      </x:c>
    </x:row>
    <x:row r="91" ht="30" customHeight="1">
      <x:c r="A91" s="86" t="str">
        <x:v>Resultados por plan y cálculo de la variable 2.7</x:v>
      </x:c>
      <x:c r="B91" s="86"/>
      <x:c r="C91" s="86"/>
      <x:c r="D91" s="86"/>
      <x:c r="E91" s="86"/>
      <x:c r="F91" s="86"/>
    </x:row>
    <x:row r="92" ht="30" customHeight="1">
      <x:c r="A92" s="86" t="str">
        <x:v>Antifraude</x:v>
      </x:c>
      <x:c r="B92" s="86"/>
      <x:c r="C92" s="86"/>
      <x:c r="D92" s="86"/>
      <x:c r="E92" s="86"/>
      <x:c r="F92" s="87" t="n">
        <x:f>AVERAGE(F25:F30)</x:f>
        <x:v>0</x:v>
      </x:c>
    </x:row>
    <x:row r="93" ht="30" customHeight="1">
      <x:c r="A93" s="86" t="str">
        <x:v>Clima · PIMACC</x:v>
      </x:c>
      <x:c r="B93" s="86"/>
      <x:c r="C93" s="86"/>
      <x:c r="D93" s="86"/>
      <x:c r="E93" s="86"/>
      <x:c r="F93" s="87" t="n">
        <x:f>AVERAGE(F33:F38)</x:f>
        <x:v>0</x:v>
      </x:c>
    </x:row>
    <x:row r="94" ht="30" customHeight="1">
      <x:c r="A94" s="86" t="str">
        <x:v>Accesibilidad</x:v>
      </x:c>
      <x:c r="B94" s="86"/>
      <x:c r="C94" s="86"/>
      <x:c r="D94" s="86"/>
      <x:c r="E94" s="86"/>
      <x:c r="F94" s="87" t="n">
        <x:f>AVERAGE(F41:F46)</x:f>
        <x:v>0</x:v>
      </x:c>
    </x:row>
    <x:row r="95" ht="30" customHeight="1">
      <x:c r="A95" s="86" t="str">
        <x:v>Cultura</x:v>
      </x:c>
      <x:c r="B95" s="86"/>
      <x:c r="C95" s="86"/>
      <x:c r="D95" s="86"/>
      <x:c r="E95" s="86"/>
      <x:c r="F95" s="87" t="n">
        <x:f>AVERAGE(F49:F54)</x:f>
        <x:v>0.16666666666666666</x:v>
      </x:c>
    </x:row>
    <x:row r="96" ht="30" customHeight="1">
      <x:c r="A96" s="86" t="str">
        <x:v>Turismo</x:v>
      </x:c>
      <x:c r="B96" s="86"/>
      <x:c r="C96" s="86"/>
      <x:c r="D96" s="86"/>
      <x:c r="E96" s="86"/>
      <x:c r="F96" s="87" t="n">
        <x:f>AVERAGE(F57:F62)</x:f>
        <x:v>0</x:v>
      </x:c>
    </x:row>
    <x:row r="97" ht="30" customHeight="1">
      <x:c r="A97" s="86" t="str">
        <x:v>Euskera</x:v>
      </x:c>
      <x:c r="B97" s="86"/>
      <x:c r="C97" s="86"/>
      <x:c r="D97" s="86"/>
      <x:c r="E97" s="86"/>
      <x:c r="F97" s="87" t="n">
        <x:f>AVERAGE(F65:F70)</x:f>
        <x:v>0</x:v>
      </x:c>
    </x:row>
    <x:row r="98" ht="30" customHeight="1">
      <x:c r="A98" s="86"/>
      <x:c r="B98" s="86"/>
      <x:c r="C98" s="86"/>
      <x:c r="D98" s="86"/>
      <x:c r="E98" s="86"/>
      <x:c r="F98" s="87"/>
    </x:row>
    <x:row r="99" ht="30" customHeight="1">
      <x:c r="A99" s="86" t="str">
        <x:v>Resultado de la variable 2.7: media de los seis planes</x:v>
      </x:c>
      <x:c r="B99" s="86"/>
      <x:c r="C99" s="86"/>
      <x:c r="D99" s="86"/>
      <x:c r="E99" s="86"/>
      <x:c r="F99" s="87" t="n">
        <x:f>AVERAGE(F92:F97)</x:f>
        <x:v>0.027777777777777776</x:v>
      </x:c>
    </x:row>
    <x:row r="100" ht="50" customHeight="1">
      <x:c r="A100" s="86" t="str">
        <x:v>Cultura recibe 0,5 en objetivos y 0,5 en acciones: media 1/6 = 16,67 %. Los demás requisitos no constan y reciben 0. La media de los seis planes es 1/36 = 2,78 %. La valoración global anterior de 2.7.5 se sustituye por la media de la matriz documental. Una referencia a colaboración política en un proyecto no acredita participación técnica en el diseño del plan completo.</x:v>
      </x:c>
      <x:c r="B100" s="86"/>
      <x:c r="C100" s="86"/>
      <x:c r="D100" s="86"/>
      <x:c r="E100" s="86"/>
      <x:c r="F100" s="86"/>
    </x:row>
    <x:row r="101" ht="50" customHeight="1">
      <x:c r="A101" s="86" t="str">
        <x:v>Resto del cálculo: cada variable es la media de sus indicadores. Estructuras es la media de sus seis variables; procesos, de sus siete. El global es la media de ambas dimensiones, con un peso del 50 % cada una.</x:v>
      </x:c>
      <x:c r="B101" s="86"/>
      <x:c r="C101" s="86"/>
      <x:c r="D101" s="86"/>
      <x:c r="E101" s="86"/>
      <x:c r="F101" s="86"/>
    </x:row>
  </x:sheetData>
  <x:mergeCells>
    <x:mergeCell ref="A1:E1"/>
    <x:mergeCell ref="A2:E2"/>
    <x:mergeCell ref="A3:E3"/>
    <x:mergeCell ref="A4:E4"/>
    <x:mergeCell ref="A5:E5"/>
    <x:mergeCell ref="A6:E6"/>
    <x:mergeCell ref="A7:E7"/>
    <x:mergeCell ref="A15:E15"/>
    <x:mergeCell ref="A16:E16"/>
    <x:mergeCell ref="A17:E17"/>
    <x:mergeCell ref="A18:E18"/>
    <x:mergeCell ref="A19:E19"/>
    <x:mergeCell ref="A20:E20"/>
    <x:mergeCell ref="A21:E21"/>
    <x:mergeCell ref="A22:E22"/>
    <x:mergeCell ref="A23:E23"/>
    <x:mergeCell ref="A31:E31"/>
    <x:mergeCell ref="A39:E39"/>
    <x:mergeCell ref="A47:E47"/>
    <x:mergeCell ref="A55:E55"/>
    <x:mergeCell ref="A63:E63"/>
    <x:mergeCell ref="A71:E71"/>
    <x:mergeCell ref="A85:E85"/>
    <x:mergeCell ref="A86:E86"/>
    <x:mergeCell ref="A87:E87"/>
    <x:mergeCell ref="A89:E89"/>
    <x:mergeCell ref="A91:E91"/>
    <x:mergeCell ref="A92:E92"/>
    <x:mergeCell ref="A93:E93"/>
    <x:mergeCell ref="A94:E94"/>
    <x:mergeCell ref="A95:E95"/>
    <x:mergeCell ref="A96:E96"/>
    <x:mergeCell ref="A97:E97"/>
    <x:mergeCell ref="A99:E99"/>
    <x:mergeCell ref="A100:E100"/>
    <x:mergeCell ref="A101:E10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52" hidden="0" customWidth="1"/>
    <x:col min="3" max="3" width="18" hidden="0" customWidth="1"/>
    <x:col min="4" max="4" width="17" hidden="0" customWidth="1"/>
    <x:col min="5" max="5" width="17" hidden="0" customWidth="1"/>
    <x:col min="6" max="6" width="17" hidden="0" customWidth="1"/>
    <x:col min="7" max="7" width="17" hidden="0" customWidth="1"/>
    <x:col min="8" max="8" width="17" hidden="0" customWidth="1"/>
    <x:col min="9" max="9" width="85" hidden="0" customWidth="1"/>
  </x:cols>
  <x:sheetData>
    <x:row r="1" ht="32" customHeight="1">
      <x:c r="A1" s="90" t="inlineStr">
        <x:is>
          <x:t xml:space="preserve">2. CONTRATACION PUBLICA</x:t>
        </x:is>
      </x:c>
      <x:c r="B1" s="90"/>
      <x:c r="C1" s="90"/>
      <x:c r="D1" s="90"/>
      <x:c r="E1" s="90"/>
      <x:c r="F1" s="90"/>
      <x:c r="G1" s="90"/>
      <x:c r="H1" s="90"/>
      <x:c r="I1" s="90"/>
    </x:row>
    <x:row r="2" ht="66" customHeight="1">
      <x:c r="A2" s="90" t="str">
        <x:v>BASE ANALIZADA: Cinco pliegos de clausulas administrativas particulares: paneles expositores de cultura (02/02/2022), asfaltado municipal (05/09/2024), arrendamiento de impresoras (25/10/2024), transporte publico urbano (21/01/2025) y concesion del bar-cafeteria de San Juan Ibarra (22/01/2026). Se incorporan las cinco carátulas oficiales (39A–43A) y la nota aclaratoria de impresoras (41B), descargadas el 29/09/2026.</x:v>
      </x:c>
      <x:c r="B2" s="90"/>
      <x:c r="C2" s="90"/>
      <x:c r="D2" s="90"/>
      <x:c r="E2" s="90"/>
      <x:c r="F2" s="90"/>
      <x:c r="G2" s="90"/>
      <x:c r="H2" s="90"/>
      <x:c r="I2" s="90"/>
    </x:row>
    <x:row r="3" ht="66" customHeight="1">
      <x:c r="A3" s="90" t="inlineStr">
        <x:is>
          <x:t xml:space="preserve">NORMA DE CONTRASTE: Articulo 22 del Decreto Legislativo 1/2023, en la redaccion introducida por la Ley 1/2022, de 3 de marzo. El pliego de febrero de 2022 es anterior a esa reforma y se valora sobre la redaccion previa; los otros cuatro le estan plenamente sujetos.</x:t>
        </x:is>
      </x:c>
      <x:c r="B3" s="90"/>
      <x:c r="C3" s="90"/>
      <x:c r="D3" s="90"/>
      <x:c r="E3" s="90"/>
      <x:c r="F3" s="90"/>
      <x:c r="G3" s="90"/>
      <x:c r="H3" s="90"/>
      <x:c r="I3" s="90"/>
    </x:row>
    <x:row r="4" ht="12" customHeight="1">
      <x:c r="A4" s="90"/>
      <x:c r="B4" s="90"/>
      <x:c r="C4" s="90"/>
      <x:c r="D4" s="90"/>
      <x:c r="E4" s="90"/>
      <x:c r="F4" s="90"/>
      <x:c r="G4" s="90"/>
      <x:c r="H4" s="90"/>
      <x:c r="I4" s="90"/>
    </x:row>
    <x:row r="5" ht="45" customHeight="1">
      <x:c r="A5" s="90" t="inlineStr">
        <x:is>
          <x:t xml:space="preserve">Art.</x:t>
        </x:is>
      </x:c>
      <x:c r="B5" s="90" t="inlineStr">
        <x:is>
          <x:t xml:space="preserve">Variable verificada</x:t>
        </x:is>
      </x:c>
      <x:c r="C5" s="90" t="inlineStr">
        <x:is>
          <x:t xml:space="preserve">Indicador</x:t>
        </x:is>
      </x:c>
      <x:c r="D5" s="90" t="inlineStr">
        <x:is>
          <x:t xml:space="preserve">Cultura 2022</x:t>
        </x:is>
      </x:c>
      <x:c r="E5" s="90" t="inlineStr">
        <x:is>
          <x:t xml:space="preserve">Asfaltado 2024</x:t>
        </x:is>
      </x:c>
      <x:c r="F5" s="90" t="inlineStr">
        <x:is>
          <x:t xml:space="preserve">Impresoras 2024</x:t>
        </x:is>
      </x:c>
      <x:c r="G5" s="90" t="inlineStr">
        <x:is>
          <x:t xml:space="preserve">Transporte 2025</x:t>
        </x:is>
      </x:c>
      <x:c r="H5" s="90" t="inlineStr">
        <x:is>
          <x:t xml:space="preserve">Bar 2026</x:t>
        </x:is>
      </x:c>
      <x:c r="I5" s="90" t="inlineStr">
        <x:is>
          <x:t xml:space="preserve">Justificacion</x:t>
        </x:is>
      </x:c>
    </x:row>
    <x:row r="6" ht="110" customHeight="1">
      <x:c r="A6" s="90" t="inlineStr">
        <x:is>
          <x:t xml:space="preserve">22.1</x:t>
        </x:is>
      </x:c>
      <x:c r="B6" s="90" t="inlineStr">
        <x:is>
          <x:t xml:space="preserve">Clausulas de igualdad entre los criterios de adjudicacion</x:t>
        </x:is>
      </x:c>
      <x:c r="C6" s="90" t="inlineStr">
        <x:is>
          <x:t xml:space="preserve">2.6.1</x:t>
        </x:is>
      </x:c>
      <x:c r="D6" s="90" t="str">
        <x:v>NO</x:v>
      </x:c>
      <x:c r="E6" s="90" t="str">
        <x:v>NO</x:v>
      </x:c>
      <x:c r="F6" s="90" t="str">
        <x:v>NO</x:v>
      </x:c>
      <x:c r="G6" s="90" t="str">
        <x:v>NO</x:v>
      </x:c>
      <x:c r="H6" s="90" t="str">
        <x:v>NO</x:v>
      </x:c>
      <x:c r="I6" s="90" t="str">
        <x:v>Revisadas las cinco carátulas oficiales: ninguna incluye un criterio específico de igualdad en la adjudicación. Paneles: cl. 32, pp. 9–10; asfaltado: cl. 31, pp. 9–11; impresoras: cl. 31, pp. 10–11; transporte: cl. 30, pp. 12–16; bar: cl. 29, pp. 9–11. Documentos 39A–43A.</x:v>
      </x:c>
    </x:row>
    <x:row r="7" ht="110" customHeight="1">
      <x:c r="A7" s="90" t="inlineStr">
        <x:is>
          <x:t xml:space="preserve">22.1</x:t>
        </x:is>
      </x:c>
      <x:c r="B7" s="90" t="inlineStr">
        <x:is>
          <x:t xml:space="preserve">Clausulas de igualdad entre las condiciones especiales de ejecucion</x:t>
        </x:is>
      </x:c>
      <x:c r="C7" s="90" t="inlineStr">
        <x:is>
          <x:t xml:space="preserve">2.6.1</x:t>
        </x:is>
      </x:c>
      <x:c r="D7" s="90" t="inlineStr">
        <x:is>
          <x:t xml:space="preserve">SI</x:t>
        </x:is>
      </x:c>
      <x:c r="E7" s="90" t="inlineStr">
        <x:is>
          <x:t xml:space="preserve">SI</x:t>
        </x:is>
      </x:c>
      <x:c r="F7" s="90" t="inlineStr">
        <x:is>
          <x:t xml:space="preserve">SI</x:t>
        </x:is>
      </x:c>
      <x:c r="G7" s="90" t="inlineStr">
        <x:is>
          <x:t xml:space="preserve">SI</x:t>
        </x:is>
      </x:c>
      <x:c r="H7" s="90" t="inlineStr">
        <x:is>
          <x:t xml:space="preserve">SI</x:t>
        </x:is>
      </x:c>
      <x:c r="I7" s="90" t="inlineStr">
        <x:is>
          <x:t xml:space="preserve">Los cinco incorporan la clausula Condiciones de igualdad de la mujer y el hombre, con redaccion practicamente identica.</x:t>
        </x:is>
      </x:c>
    </x:row>
    <x:row r="8" ht="110" customHeight="1">
      <x:c r="A8" s="90" t="inlineStr">
        <x:is>
          <x:t xml:space="preserve">22.3</x:t>
        </x:is>
      </x:c>
      <x:c r="B8" s="90" t="inlineStr">
        <x:is>
          <x:t xml:space="preserve">Exclusion por prohibicion de contratar vinculada a la igualdad: falta de plan de igualdad obligatorio o sancion firme por infraccion muy grave</x:t>
        </x:is>
      </x:c>
      <x:c r="C8" s="90" t="inlineStr">
        <x:is>
          <x:t xml:space="preserve">2.6.1</x:t>
        </x:is>
      </x:c>
      <x:c r="D8" s="90" t="inlineStr">
        <x:is>
          <x:t xml:space="preserve">NO</x:t>
        </x:is>
      </x:c>
      <x:c r="E8" s="90" t="inlineStr">
        <x:is>
          <x:t xml:space="preserve">NO</x:t>
        </x:is>
      </x:c>
      <x:c r="F8" s="90" t="inlineStr">
        <x:is>
          <x:t xml:space="preserve">NO</x:t>
        </x:is>
      </x:c>
      <x:c r="G8" s="90" t="inlineStr">
        <x:is>
          <x:t xml:space="preserve">NO</x:t>
        </x:is>
      </x:c>
      <x:c r="H8" s="90" t="inlineStr">
        <x:is>
          <x:t xml:space="preserve">NO</x:t>
        </x:is>
      </x:c>
      <x:c r="I8" s="90" t="inlineStr">
        <x:is>
          <x:t xml:space="preserve">Los cinco se remiten en bloque al articulo 71 de la LCSP, sin mencion alguna a la igualdad. El pliego de 2026 anade la prohibicion de contratar como consecuencia del incumplimiento grave de condiciones especiales, pero no como causa de exclusion previa por antecedentes en materia de igualdad.</x:t>
        </x:is>
      </x:c>
    </x:row>
    <x:row r="9" ht="110" customHeight="1">
      <x:c r="A9" s="90" t="inlineStr">
        <x:is>
          <x:t xml:space="preserve">22.4</x:t>
        </x:is>
      </x:c>
      <x:c r="B9" s="90" t="inlineStr">
        <x:is>
          <x:t xml:space="preserve">Solvencia tecnica o profesional: experiencia, conocimientos o formacion en igualdad cuando el objeto lo requiera</x:t>
        </x:is>
      </x:c>
      <x:c r="C9" s="90" t="inlineStr">
        <x:is>
          <x:t xml:space="preserve">2.6.1</x:t>
        </x:is>
      </x:c>
      <x:c r="D9" s="90" t="inlineStr">
        <x:is>
          <x:t xml:space="preserve">NO</x:t>
        </x:is>
      </x:c>
      <x:c r="E9" s="90" t="inlineStr">
        <x:is>
          <x:t xml:space="preserve">NO</x:t>
        </x:is>
      </x:c>
      <x:c r="F9" s="90" t="inlineStr">
        <x:is>
          <x:t xml:space="preserve">NO</x:t>
        </x:is>
      </x:c>
      <x:c r="G9" s="90" t="inlineStr">
        <x:is>
          <x:t xml:space="preserve">NO</x:t>
        </x:is>
      </x:c>
      <x:c r="H9" s="90" t="inlineStr">
        <x:is>
          <x:t xml:space="preserve">NO</x:t>
        </x:is>
      </x:c>
      <x:c r="I9" s="90" t="inlineStr">
        <x:is>
          <x:t xml:space="preserve">Ninguno la exige. En los contratos de cultura y de transporte publico urbano el objeto habria permitido plantearla.</x:t>
        </x:is>
      </x:c>
    </x:row>
    <x:row r="10" ht="110" customHeight="1">
      <x:c r="A10" s="90" t="inlineStr">
        <x:is>
          <x:t xml:space="preserve">22.5.a</x:t>
        </x:is>
      </x:c>
      <x:c r="B10" s="90" t="inlineStr">
        <x:is>
          <x:t xml:space="preserve">Criterio de adjudicacion de igualdad con ponderacion minima del 5 por ciento del baremo</x:t>
        </x:is>
      </x:c>
      <x:c r="C10" s="90" t="inlineStr">
        <x:is>
          <x:t xml:space="preserve">2.6.1</x:t>
        </x:is>
      </x:c>
      <x:c r="D10" s="90" t="str">
        <x:v>NO</x:v>
      </x:c>
      <x:c r="E10" s="90" t="str">
        <x:v>NO</x:v>
      </x:c>
      <x:c r="F10" s="90" t="str">
        <x:v>NO</x:v>
      </x:c>
      <x:c r="G10" s="90" t="str">
        <x:v>NO</x:v>
      </x:c>
      <x:c r="H10" s="90" t="str">
        <x:v>NO</x:v>
      </x:c>
      <x:c r="I10" s="90" t="str">
        <x:v>Los cinco baremos asignan 0 de 100 puntos expresamente a igualdad; no alcanzan el 5 %. Fuentes: carátulas 39A–43A y páginas indicadas en la primera comprobación. En paneles (febrero de 2022), el contraste con el 5 % es descriptivo y no supone aplicar retroactivamente la reforma de marzo de 2022.</x:v>
      </x:c>
    </x:row>
    <x:row r="11" ht="110" customHeight="1">
      <x:c r="A11" s="90" t="inlineStr">
        <x:is>
          <x:t xml:space="preserve">22.5.b</x:t>
        </x:is>
      </x:c>
      <x:c r="B11" s="90" t="inlineStr">
        <x:is>
          <x:t xml:space="preserve">Al menos una condicion especial de ejecucion que vaya mas alla del uso no sexista del lenguaje y las imagenes</x:t>
        </x:is>
      </x:c>
      <x:c r="C11" s="90" t="inlineStr">
        <x:is>
          <x:t xml:space="preserve">2.6.1</x:t>
        </x:is>
      </x:c>
      <x:c r="D11" s="90" t="inlineStr">
        <x:is>
          <x:t xml:space="preserve">SI</x:t>
        </x:is>
      </x:c>
      <x:c r="E11" s="90" t="inlineStr">
        <x:is>
          <x:t xml:space="preserve">SI</x:t>
        </x:is>
      </x:c>
      <x:c r="F11" s="90" t="inlineStr">
        <x:is>
          <x:t xml:space="preserve">SI</x:t>
        </x:is>
      </x:c>
      <x:c r="G11" s="90" t="inlineStr">
        <x:is>
          <x:t xml:space="preserve">SI</x:t>
        </x:is>
      </x:c>
      <x:c r="H11" s="90" t="inlineStr">
        <x:is>
          <x:t xml:space="preserve">SI</x:t>
        </x:is>
      </x:c>
      <x:c r="I11" s="90" t="inlineStr">
        <x:is>
          <x:t xml:space="preserve">Ademas del lenguaje y las imagenes, la clausula obliga a cumplir la Ley 4/2005 y la Ley Organica 3/2007 (Decreto Legislativo 1/2023 en el pliego de 2026), a justificar plan de igualdad por encima de 250 personas trabajadoras, a garantizar la igualdad en trato, acceso al empleo, clasificacion, promocion, permanencia, formacion, extincion, retribuciones, estabilidad y jornada, y a dar preferencia a la contratacion de mujeres si la plantilla tiene una presencia femenina inferior al 50 por ciento.</x:t>
        </x:is>
      </x:c>
    </x:row>
    <x:row r="12" ht="110" customHeight="1">
      <x:c r="A12" s="90" t="inlineStr">
        <x:is>
          <x:t xml:space="preserve">22.7.a</x:t>
        </x:is>
      </x:c>
      <x:c r="B12" s="90" t="inlineStr">
        <x:is>
          <x:t xml:space="preserve">Obligacion de la contratista de acreditar el cumplimiento efectivo sin requerimiento previo</x:t>
        </x:is>
      </x:c>
      <x:c r="C12" s="90" t="inlineStr">
        <x:is>
          <x:t xml:space="preserve">2.6.3</x:t>
        </x:is>
      </x:c>
      <x:c r="D12" s="90" t="inlineStr">
        <x:is>
          <x:t xml:space="preserve">NO</x:t>
        </x:is>
      </x:c>
      <x:c r="E12" s="90" t="inlineStr">
        <x:is>
          <x:t xml:space="preserve">NO</x:t>
        </x:is>
      </x:c>
      <x:c r="F12" s="90" t="inlineStr">
        <x:is>
          <x:t xml:space="preserve">NO</x:t>
        </x:is>
      </x:c>
      <x:c r="G12" s="90" t="inlineStr">
        <x:is>
          <x:t xml:space="preserve">NO</x:t>
        </x:is>
      </x:c>
      <x:c r="H12" s="90" t="inlineStr">
        <x:is>
          <x:t xml:space="preserve">NO</x:t>
        </x:is>
      </x:c>
      <x:c r="I12" s="90" t="str">
        <x:v>No se ha localizado una obligación de aportación sistemática de documentación de igualdad sin requerimiento previo. Las obligaciones sustantivas de igualdad que contienen los pliegos no acreditan por sí solas su verificación efectiva.</x:v>
      </x:c>
    </x:row>
    <x:row r="13" ht="110" customHeight="1">
      <x:c r="A13" s="90" t="inlineStr">
        <x:is>
          <x:t xml:space="preserve">22.7.b</x:t>
        </x:is>
      </x:c>
      <x:c r="B13" s="90" t="inlineStr">
        <x:is>
          <x:t xml:space="preserve">Consecuencias del incumplimiento de las clausulas de igualdad especificadas en el pliego</x:t>
        </x:is>
      </x:c>
      <x:c r="C13" s="90" t="inlineStr">
        <x:is>
          <x:t xml:space="preserve">2.6.4</x:t>
        </x:is>
      </x:c>
      <x:c r="D13" s="90" t="inlineStr">
        <x:is>
          <x:t xml:space="preserve">NO</x:t>
        </x:is>
      </x:c>
      <x:c r="E13" s="90" t="inlineStr">
        <x:is>
          <x:t xml:space="preserve">NO</x:t>
        </x:is>
      </x:c>
      <x:c r="F13" s="90" t="inlineStr">
        <x:is>
          <x:t xml:space="preserve">NO</x:t>
        </x:is>
      </x:c>
      <x:c r="G13" s="90" t="inlineStr">
        <x:is>
          <x:t xml:space="preserve">NO</x:t>
        </x:is>
      </x:c>
      <x:c r="H13" s="90" t="inlineStr">
        <x:is>
          <x:t xml:space="preserve">NO</x:t>
        </x:is>
      </x:c>
      <x:c r="I13" s="90" t="str">
        <x:v>Existe un régimen general de penalidades aplicable a las condiciones especiales de ejecución. No se ha acreditado su concreción y aplicación a las cláusulas de igualdad. El NO de esta matriz se refiere a esa comprobación específica y no afirma ausencia de consecuencias ni incumplimiento legal por el mero hecho de no existir una graduación separada.</x:v>
      </x:c>
    </x:row>
    <x:row r="14" ht="110" customHeight="1">
      <x:c r="A14" s="90" t="inlineStr">
        <x:is>
          <x:t xml:space="preserve">22.7.c</x:t>
        </x:is>
      </x:c>
      <x:c r="B14" s="90" t="inlineStr">
        <x:is>
          <x:t xml:space="preserve">Unidad de seguimiento encargada de verificar la documentacion de igualdad, con posible asesoramiento del organo de igualdad</x:t>
        </x:is>
      </x:c>
      <x:c r="C14" s="90" t="inlineStr">
        <x:is>
          <x:t xml:space="preserve">2.6.3</x:t>
        </x:is>
      </x:c>
      <x:c r="D14" s="90" t="inlineStr">
        <x:is>
          <x:t xml:space="preserve">NO</x:t>
        </x:is>
      </x:c>
      <x:c r="E14" s="90" t="inlineStr">
        <x:is>
          <x:t xml:space="preserve">NO</x:t>
        </x:is>
      </x:c>
      <x:c r="F14" s="90" t="inlineStr">
        <x:is>
          <x:t xml:space="preserve">NO</x:t>
        </x:is>
      </x:c>
      <x:c r="G14" s="90" t="inlineStr">
        <x:is>
          <x:t xml:space="preserve">NO</x:t>
        </x:is>
      </x:c>
      <x:c r="H14" s="90" t="inlineStr">
        <x:is>
          <x:t xml:space="preserve">NO</x:t>
        </x:is>
      </x:c>
      <x:c r="I14" s="90" t="inlineStr">
        <x:is>
          <x:t xml:space="preserve">Ningun pliego designa unidad responsable de esa verificacion ni contempla el asesoramiento del servicio de igualdad.</x:t>
        </x:is>
      </x:c>
    </x:row>
    <x:row r="15" ht="110" customHeight="1">
      <x:c r="A15" s="90"/>
      <x:c r="B15" s="90"/>
      <x:c r="C15" s="90"/>
      <x:c r="D15" s="90"/>
      <x:c r="E15" s="90"/>
      <x:c r="F15" s="90"/>
      <x:c r="G15" s="90"/>
      <x:c r="H15" s="90"/>
      <x:c r="I15" s="90"/>
    </x:row>
    <x:row r="16" ht="90" customHeight="1">
      <x:c r="A16" s="90" t="str">
        <x:v>Resultado de la matriz documental: nueve comprobaciones por contrato, dos SI y siete NO en cada uno. Se han verificado las cinco carátulas y se resuelven las dos comprobaciones antes pendientes. El contrato de febrero de 2022 precede a la reforma: el contraste con requisitos posteriores es descriptivo. El indicador 2.6.1 mantiene PARCIAL (0,5), por la presencia de condiciones de ejecución y ausencia de criterios de adjudicación de igualdad. Las filas de esta matriz no son indicadores adicionales ni se añaden al cálculo global.</x:v>
      </x:c>
      <x:c r="B16" s="90"/>
      <x:c r="C16" s="90"/>
      <x:c r="D16" s="90"/>
      <x:c r="E16" s="90"/>
      <x:c r="F16" s="90"/>
      <x:c r="G16" s="90"/>
      <x:c r="H16" s="90"/>
      <x:c r="I16" s="90"/>
    </x:row>
  </x:sheetData>
  <x:mergeCells>
    <x:mergeCell ref="A1:I1"/>
    <x:mergeCell ref="A2:I2"/>
    <x:mergeCell ref="A3:I3"/>
    <x:mergeCell ref="A16:I16"/>
  </x:mergeCell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52" hidden="0" customWidth="1"/>
    <x:col min="3" max="3" width="18" hidden="0" customWidth="1"/>
    <x:col min="4" max="4" width="17" hidden="0" customWidth="1"/>
    <x:col min="5" max="5" width="17" hidden="0" customWidth="1"/>
    <x:col min="6" max="6" width="17" hidden="0" customWidth="1"/>
    <x:col min="7" max="7" width="17" hidden="0" customWidth="1"/>
    <x:col min="8" max="8" width="17" hidden="0" customWidth="1"/>
    <x:col min="9" max="9" width="85" hidden="0" customWidth="1"/>
  </x:cols>
  <x:sheetData>
    <x:row r="1" ht="32" customHeight="1">
      <x:c r="A1" s="90" t="inlineStr">
        <x:is>
          <x:t xml:space="preserve">3. SUBVENCIONES PUBLICAS</x:t>
        </x:is>
      </x:c>
      <x:c r="B1" s="90"/>
      <x:c r="C1" s="90"/>
      <x:c r="D1" s="90"/>
      <x:c r="E1" s="90"/>
      <x:c r="F1" s="90"/>
      <x:c r="G1" s="90"/>
      <x:c r="H1" s="90"/>
      <x:c r="I1" s="90"/>
    </x:row>
    <x:row r="2" ht="66" customHeight="1">
      <x:c r="A2" s="90" t="str">
        <x:v>Cinco convocatorias: Euskera 2021–2022; Deportes 2022; Cooperación y Cohesión Social, ejercicio 2023, publicadas en enero de 2024; Cultura 2024. Contraste con BDNS y Ordenanza General. Documentación complementaria: SUB-ORD, 46A, 47A y 47B (esta última menciona 2023 y no acredita el anexo de 2024).</x:v>
      </x:c>
      <x:c r="B2" s="90"/>
      <x:c r="C2" s="90"/>
      <x:c r="D2" s="90"/>
      <x:c r="E2" s="90"/>
      <x:c r="F2" s="90"/>
      <x:c r="G2" s="90"/>
      <x:c r="H2" s="90"/>
      <x:c r="I2" s="90"/>
    </x:row>
    <x:row r="3" ht="96" customHeight="1">
      <x:c r="A3" s="90" t="str">
        <x:v>Matriz de presencia documental de requisitos, no porcentaje de cumplimiento legal. Los NO indican ausencia del requisito completo en la documentación examinada. En euskera 2021 el contraste con la reforma posterior es descriptivo; las obligaciones empresariales y de personas jurídicas no se trasladan a ayudas individuales. No se calcula una media de estos 35 cruces ni se incorporan como indicadores adicionales al global. Hay cláusulas generales de no discriminación, control, reintegro y sanción en la ordenanza. No se ha acreditado su aplicación efectiva específica a igualdad.</x:v>
      </x:c>
      <x:c r="B3" s="90"/>
      <x:c r="C3" s="90"/>
      <x:c r="D3" s="90"/>
      <x:c r="E3" s="90"/>
      <x:c r="F3" s="90"/>
      <x:c r="G3" s="90"/>
      <x:c r="H3" s="90"/>
      <x:c r="I3" s="90"/>
    </x:row>
    <x:row r="4" ht="12" customHeight="1">
      <x:c r="A4" s="90"/>
      <x:c r="B4" s="90"/>
      <x:c r="C4" s="90"/>
      <x:c r="D4" s="90"/>
      <x:c r="E4" s="90"/>
      <x:c r="F4" s="90"/>
      <x:c r="G4" s="90"/>
      <x:c r="H4" s="90"/>
      <x:c r="I4" s="90"/>
    </x:row>
    <x:row r="5" ht="50" customHeight="1">
      <x:c r="A5" s="90" t="inlineStr">
        <x:is>
          <x:t xml:space="preserve">Art.</x:t>
        </x:is>
      </x:c>
      <x:c r="B5" s="90" t="inlineStr">
        <x:is>
          <x:t xml:space="preserve">Variable verificada</x:t>
        </x:is>
      </x:c>
      <x:c r="C5" s="90" t="inlineStr">
        <x:is>
          <x:t xml:space="preserve">Indicador</x:t>
        </x:is>
      </x:c>
      <x:c r="D5" s="90" t="inlineStr">
        <x:is>
          <x:t xml:space="preserve">Euskera 2021</x:t>
        </x:is>
      </x:c>
      <x:c r="E5" s="90" t="inlineStr">
        <x:is>
          <x:t xml:space="preserve">Deportivas 2022</x:t>
        </x:is>
      </x:c>
      <x:c r="F5" s="90" t="str">
        <x:v>Cooperación 2023 (BOB 2024)</x:v>
      </x:c>
      <x:c r="G5" s="90" t="str">
        <x:v>Cohesión 2023 (BOB 2024)</x:v>
      </x:c>
      <x:c r="H5" s="90" t="inlineStr">
        <x:is>
          <x:t xml:space="preserve">Culturales 2024</x:t>
        </x:is>
      </x:c>
      <x:c r="I5" s="90" t="inlineStr">
        <x:is>
          <x:t xml:space="preserve">Justificacion</x:t>
        </x:is>
      </x:c>
    </x:row>
    <x:row r="6" ht="180" customHeight="1">
      <x:c r="A6" s="90" t="inlineStr">
        <x:is>
          <x:t xml:space="preserve">23.1</x:t>
        </x:is>
      </x:c>
      <x:c r="B6" s="90" t="inlineStr">
        <x:is>
          <x:t xml:space="preserve">Perspectiva de genero en las bases: medidas entre los criterios de valoracion y entre las obligaciones de las entidades beneficiarias</x:t>
        </x:is>
      </x:c>
      <x:c r="C6" s="90" t="inlineStr">
        <x:is>
          <x:t xml:space="preserve">2.6.5</x:t>
        </x:is>
      </x:c>
      <x:c r="D6" s="90" t="str">
        <x:v>NO</x:v>
      </x:c>
      <x:c r="E6" s="90" t="str">
        <x:v>NO</x:v>
      </x:c>
      <x:c r="F6" s="90" t="str">
        <x:v>SI</x:v>
      </x:c>
      <x:c r="G6" s="90" t="str">
        <x:v>SI</x:v>
      </x:c>
      <x:c r="H6" s="90" t="str">
        <x:v>PARCIAL</x:v>
      </x:c>
      <x:c r="I6" s="90" t="str">
        <x:v>Cooperación y Cohesión Social incorporan criterios y obligaciones de igualdad. Cultura incluye género, lenguaje e imagen no sexistas dentro de un bloque de 25 puntos compartido con euskera y ODS, sin mínimo individualizado para igualdad (doc. 47, p. 4). Deportes no incorpora ambos planos. Euskera contempla maternidad y parto prematuro como excepción a la exclusión por falta de asistencia (doc. 46, art. 7), sin desarrollar ambos planos del mandato.</x:v>
      </x:c>
    </x:row>
    <x:row r="7" ht="180" customHeight="1">
      <x:c r="A7" s="90" t="inlineStr">
        <x:is>
          <x:t xml:space="preserve">23.2</x:t>
        </x:is>
      </x:c>
      <x:c r="B7" s="90" t="inlineStr">
        <x:is>
          <x:t xml:space="preserve">Exclusion de actividades discriminatorias, entidades sancionadas, empresas sin plan de igualdad obligatorio y empresas de mas de 50 personas sin medidas frente al acoso</x:t>
        </x:is>
      </x:c>
      <x:c r="C7" s="90" t="inlineStr">
        <x:is>
          <x:t xml:space="preserve">2.6.5</x:t>
        </x:is>
      </x:c>
      <x:c r="D7" s="90" t="str">
        <x:v>NO</x:v>
      </x:c>
      <x:c r="E7" s="90" t="str">
        <x:v>PARCIAL</x:v>
      </x:c>
      <x:c r="F7" s="90" t="str">
        <x:v>SI</x:v>
      </x:c>
      <x:c r="G7" s="90" t="str">
        <x:v>SI</x:v>
      </x:c>
      <x:c r="H7" s="90" t="str">
        <x:v>PARCIAL</x:v>
      </x:c>
      <x:c r="I7" s="90" t="str">
        <x:v>Cooperación y Cohesión Social recogen las exclusiones del artículo 23.2 (docs. 44 y 45). La Ordenanza General, art. 7.a, p. 15 del PDF, exige a entidades y asociaciones ausencia de discriminación por sexo en estatutos y funcionamiento: cobertura parcial también en Cultura y Deportes, sin acreditar el conjunto de exclusiones. En Euskera, ayuda individual anterior a la reforma, el NO solo describe ausencia de la cláusula completa y no incumplimiento retroactivo.</x:v>
      </x:c>
    </x:row>
    <x:row r="8" ht="180" customHeight="1">
      <x:c r="A8" s="90" t="inlineStr">
        <x:is>
          <x:t xml:space="preserve">23.3.a</x:t>
        </x:is>
      </x:c>
      <x:c r="B8" s="90" t="inlineStr">
        <x:is>
          <x:t xml:space="preserve">Requisito de trayectoria en igualdad, fines estatutarios de promocion de la igualdad o formacion especifica de quien ejecuta el proyecto</x:t>
        </x:is>
      </x:c>
      <x:c r="C8" s="90" t="inlineStr">
        <x:is>
          <x:t xml:space="preserve">2.6.5</x:t>
        </x:is>
      </x:c>
      <x:c r="D8" s="90" t="str">
        <x:v>NO</x:v>
      </x:c>
      <x:c r="E8" s="90" t="str">
        <x:v>NO</x:v>
      </x:c>
      <x:c r="F8" s="90" t="str">
        <x:v>NO</x:v>
      </x:c>
      <x:c r="G8" s="90" t="str">
        <x:v>NO</x:v>
      </x:c>
      <x:c r="H8" s="90" t="str">
        <x:v>NO</x:v>
      </x:c>
      <x:c r="I8" s="90" t="str">
        <x:v>No se localiza el requisito en las cinco convocatorias. Su exigencia legal depende de que el objeto tenga relevancia de género; no se presume automáticamente incumplimiento en todos los casos. Euskera 2021 es anterior a la reforma.</x:v>
      </x:c>
    </x:row>
    <x:row r="9" ht="180" customHeight="1">
      <x:c r="A9" s="90" t="inlineStr">
        <x:is>
          <x:t xml:space="preserve">23.3.b</x:t>
        </x:is>
      </x:c>
      <x:c r="B9" s="90" t="inlineStr">
        <x:is>
          <x:t xml:space="preserve">Criterio de valoracion en materia de igualdad con al menos el 5 por ciento del baremo</x:t>
        </x:is>
      </x:c>
      <x:c r="C9" s="90" t="inlineStr">
        <x:is>
          <x:t xml:space="preserve">2.6.5</x:t>
        </x:is>
      </x:c>
      <x:c r="D9" s="90" t="str">
        <x:v>NO</x:v>
      </x:c>
      <x:c r="E9" s="90" t="str">
        <x:v>NO</x:v>
      </x:c>
      <x:c r="F9" s="90" t="str">
        <x:v>NO</x:v>
      </x:c>
      <x:c r="G9" s="90" t="str">
        <x:v>NO</x:v>
      </x:c>
      <x:c r="H9" s="90" t="str">
        <x:v>NO</x:v>
      </x:c>
      <x:c r="I9" s="90" t="str">
        <x:v>Cooperación y Cohesión Social asignan 2 de 100 puntos a género (docs. 44 p. 9 y 45 p. 12). Cultura incorpora igualdad en un bloque compartido de 25 puntos, sin garantizar un mínimo propio del 5 %. Deportes no asigna puntuación específica. En Euskera 2021 el contraste con el 5 % posterior es descriptivo.</x:v>
      </x:c>
    </x:row>
    <x:row r="10" ht="180" customHeight="1">
      <x:c r="A10" s="90" t="inlineStr">
        <x:is>
          <x:t xml:space="preserve">23.3.c</x:t>
        </x:is>
      </x:c>
      <x:c r="B10" s="90" t="inlineStr">
        <x:is>
          <x:t xml:space="preserve">Obligaciones en materia de igualdad mas alla del uso no sexista del lenguaje y las imagenes, y consecuencias de su incumplimiento</x:t>
        </x:is>
      </x:c>
      <x:c r="C10" s="90" t="inlineStr">
        <x:is>
          <x:t xml:space="preserve">2.6.5 y 2.6.8</x:t>
        </x:is>
      </x:c>
      <x:c r="D10" s="90" t="str">
        <x:v>NO</x:v>
      </x:c>
      <x:c r="E10" s="90" t="str">
        <x:v>NO</x:v>
      </x:c>
      <x:c r="F10" s="90" t="str">
        <x:v>PARCIAL</x:v>
      </x:c>
      <x:c r="G10" s="90" t="str">
        <x:v>PARCIAL</x:v>
      </x:c>
      <x:c r="H10" s="90" t="str">
        <x:v>NO</x:v>
      </x:c>
      <x:c r="I10" s="90" t="str">
        <x:v>Cooperación y Cohesión Social imponen obligaciones de igualdad y datos por sexo/género y edad. Existen consecuencias generales: Cooperación art. 16 y Ordenanza art. 44.f–g, además de infracciones y sanciones (arts. 54–59). Se mantiene PARCIAL porque no se explicita el enlace específico entre cada obligación de igualdad y su consecuencia. No se afirma ausencia de consecuencias ni se confunde reintegro con sanción.</x:v>
      </x:c>
    </x:row>
    <x:row r="11" ht="180" customHeight="1">
      <x:c r="A11" s="90" t="inlineStr">
        <x:is>
          <x:t xml:space="preserve">23.3.d</x:t>
        </x:is>
      </x:c>
      <x:c r="B11" s="90" t="str">
        <x:v>Datos desglosados por sexo: personas destinatarias, titulares y plantillas, según el ámbito del artículo 23.3.d</x:v>
      </x:c>
      <x:c r="C11" s="90" t="inlineStr">
        <x:is>
          <x:t xml:space="preserve">2.6.5</x:t>
        </x:is>
      </x:c>
      <x:c r="D11" s="90" t="str">
        <x:v>NO</x:v>
      </x:c>
      <x:c r="E11" s="90" t="str">
        <x:v>NO</x:v>
      </x:c>
      <x:c r="F11" s="90" t="str">
        <x:v>PARCIAL</x:v>
      </x:c>
      <x:c r="G11" s="90" t="str">
        <x:v>PARCIAL</x:v>
      </x:c>
      <x:c r="H11" s="90" t="str">
        <x:v>NO</x:v>
      </x:c>
      <x:c r="I11" s="90" t="str">
        <x:v>Cooperación y Cohesión Social exigen datos por sexo/género y edad en la memoria de actividad (docs. 44 p. 17 y 45 p. 15). No se acredita todo el alcance del artículo 23.3.d relativo a titulares y plantillas: se corrigen los dos SI a PARCIAL. En las demás convocatorias no se localiza la exigencia completa; el formulario adicional de Euskera tampoco incorpora campo de sexo.</x:v>
      </x:c>
    </x:row>
    <x:row r="12" ht="180" customHeight="1">
      <x:c r="A12" s="90" t="inlineStr">
        <x:is>
          <x:t xml:space="preserve">23.4</x:t>
        </x:is>
      </x:c>
      <x:c r="B12" s="90" t="inlineStr">
        <x:is>
          <x:t xml:space="preserve">Acreditacion del cumplimiento efectivo y sometimiento a actuaciones de comprobacion</x:t>
        </x:is>
      </x:c>
      <x:c r="C12" s="90" t="inlineStr">
        <x:is>
          <x:t xml:space="preserve">2.6.7</x:t>
        </x:is>
      </x:c>
      <x:c r="D12" s="90" t="str">
        <x:v>NO</x:v>
      </x:c>
      <x:c r="E12" s="90" t="str">
        <x:v>NO</x:v>
      </x:c>
      <x:c r="F12" s="90" t="str">
        <x:v>PARCIAL</x:v>
      </x:c>
      <x:c r="G12" s="90" t="str">
        <x:v>PARCIAL</x:v>
      </x:c>
      <x:c r="H12" s="90" t="str">
        <x:v>NO</x:v>
      </x:c>
      <x:c r="I12" s="90" t="str">
        <x:v>Cooperación y Cohesión Social exigen información de igualdad en la memoria y están sujetas a comprobaciones: doc. 44 p. 16, doc. 45 art. 12.d p. 13 y Ordenanza art. 9 y arts. 51–52. Se corrigen ambos NO a PARCIAL por esa cobertura documental, sin acreditar un sistema efectivo específico de igualdad. En las restantes no se localiza el requisito completo; existen controles generales. El artículo 23.4 se refiere a personas jurídicas, por lo que el contraste de Euskera individual no equivale a incumplimiento legal.</x:v>
      </x:c>
    </x:row>
    <x:row r="13" ht="110" customHeight="1">
      <x:c r="A13" s="90"/>
      <x:c r="B13" s="90"/>
      <x:c r="C13" s="90"/>
      <x:c r="D13" s="90"/>
      <x:c r="E13" s="90"/>
      <x:c r="F13" s="90"/>
      <x:c r="G13" s="90"/>
      <x:c r="H13" s="90"/>
      <x:c r="I13" s="90"/>
    </x:row>
    <x:row r="14" ht="140" customHeight="1">
      <x:c r="A14" s="90" t="str">
        <x:v>Matriz de presencia documental de requisitos, no porcentaje de cumplimiento legal. Los NO indican ausencia del requisito completo en la documentación examinada. En euskera 2021 el contraste con la reforma posterior es descriptivo; las obligaciones empresariales y de personas jurídicas no se trasladan a ayudas individuales. No se calcula una media de estos 35 cruces ni se incorporan como indicadores adicionales al global. Hay cláusulas generales de no discriminación, control, reintegro y sanción en la ordenanza. No se ha acreditado su aplicación efectiva específica a igualdad. Fuentes: Documentos 44–48; BDNS 733561, 733589, 592663 y 766851; Ordenanza General de Subvenciones, BOB 242 de 19/12/2012, arts. 1, 7.a, 9, 44 y 51–59 (documento SUB-ORD). Revisión documental 29/09/2026. https://www.bizkaia.eus/lehendakaritza/Bao_bob/2012/12/20121219a242.pdf</x:v>
      </x:c>
      <x:c r="B14" s="90"/>
      <x:c r="C14" s="90"/>
      <x:c r="D14" s="90"/>
      <x:c r="E14" s="90"/>
      <x:c r="F14" s="90"/>
      <x:c r="G14" s="90"/>
      <x:c r="H14" s="90"/>
      <x:c r="I14" s="90"/>
    </x:row>
  </x:sheetData>
  <x:mergeCells>
    <x:mergeCell ref="A1:I1"/>
    <x:mergeCell ref="A2:I2"/>
    <x:mergeCell ref="A3:I3"/>
    <x:mergeCell ref="A14:I14"/>
  </x:mergeCells>
  <x:pageMargins left="0.7" right="0.7" top="0.75" bottom="0.75" header="0.3" footer="0.3"/>
</x:worksheet>
</file>